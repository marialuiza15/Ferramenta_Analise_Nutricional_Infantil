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filterPrivacy="1" defaultThemeVersion="124226"/>
  <xr:revisionPtr revIDLastSave="2" documentId="13_ncr:1_{D281F75E-A767-4DD3-BC83-71CA752DC82E}" xr6:coauthVersionLast="47" xr6:coauthVersionMax="47" xr10:uidLastSave="{8CDE3409-E2A5-44D6-AFA2-5844765DD597}"/>
  <bookViews>
    <workbookView xWindow="-108" yWindow="-108" windowWidth="23256" windowHeight="12456" tabRatio="905" firstSheet="4" activeTab="5" xr2:uid="{00000000-000D-0000-FFFF-FFFF00000000}"/>
  </bookViews>
  <sheets>
    <sheet name="Manual do SIS XINGU" sheetId="22" r:id="rId1"/>
    <sheet name="Censo" sheetId="23" r:id="rId2"/>
    <sheet name="GESTANTES" sheetId="28" r:id="rId3"/>
    <sheet name="Final PRE-NATAL" sheetId="3" r:id="rId4"/>
    <sheet name="NASCIMENTOS" sheetId="1" r:id="rId5"/>
    <sheet name="PUERICULTURA" sheetId="29" r:id="rId6"/>
    <sheet name="ABORTO" sheetId="31" r:id="rId7"/>
    <sheet name="NATIMORTO" sheetId="4" r:id="rId8"/>
    <sheet name="ÓBITO" sheetId="9" r:id="rId9"/>
    <sheet name="DM" sheetId="5" r:id="rId10"/>
    <sheet name="HAS" sheetId="6" r:id="rId11"/>
    <sheet name="AGRAVOS" sheetId="30" r:id="rId12"/>
    <sheet name="Ações Educativas" sheetId="15" r:id="rId13"/>
    <sheet name="ATIVIDADES" sheetId="25" r:id="rId14"/>
    <sheet name="Usuários de medicamentos" sheetId="26" r:id="rId15"/>
    <sheet name="NOTIFICAÇÕES BEM VIVER" sheetId="27" r:id="rId16"/>
  </sheets>
  <externalReferences>
    <externalReference r:id="rId17"/>
  </externalReferences>
  <definedNames>
    <definedName name="_xlnm._FilterDatabase" localSheetId="3" hidden="1">'Final PRE-NATAL'!$B$3:$AA$3</definedName>
    <definedName name="_xlnm._FilterDatabase" localSheetId="2" hidden="1">GESTANTES!$A$1:$AJ$2</definedName>
    <definedName name="_xlnm._FilterDatabase" localSheetId="10" hidden="1">HAS!$A$1:$AE$1</definedName>
    <definedName name="_xlnm._FilterDatabase" localSheetId="0" hidden="1">'Manual do SIS XINGU'!$A$10:$V$10</definedName>
    <definedName name="_xlnm._FilterDatabase" localSheetId="4" hidden="1">NASCIMENTOS!$A$1:$DB$1</definedName>
    <definedName name="_xlnm._FilterDatabase" localSheetId="7" hidden="1">NATIMORTO!$A$1:$Q$1</definedName>
    <definedName name="_xlnm._FilterDatabase" localSheetId="8" hidden="1">ÓBITO!$B$1:$K$57</definedName>
    <definedName name="_xlnm._FilterDatabase" localSheetId="5" hidden="1">PUERICULTURA!$A$4:$S$143</definedName>
    <definedName name="PSICOTROPICOS">'[1]Planilha de Apoio'!$O$2:$O$6</definedName>
    <definedName name="RAPS">'[1]Planilha de Apoio'!$H$2:$H$6</definedName>
    <definedName name="SEXO">'[1]Planilha de Apoio'!$B$2:$B$3</definedName>
    <definedName name="SIMNÃO">'[1]Planilha de Apoio'!$C$2:$C$3</definedName>
    <definedName name="SITUAÇÃOCONJUGAL">'[1]Planilha de Apoio'!$D$2:$D$6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29" l="1"/>
  <c r="F9" i="29"/>
  <c r="F35" i="29"/>
  <c r="F34" i="29"/>
  <c r="F33" i="29"/>
  <c r="F32" i="29"/>
  <c r="F31" i="29"/>
  <c r="F30" i="29"/>
  <c r="F29" i="29"/>
  <c r="F28" i="29"/>
  <c r="F27" i="29"/>
  <c r="F26" i="29"/>
  <c r="F36" i="29"/>
  <c r="F37" i="29"/>
  <c r="F38" i="29"/>
  <c r="F39" i="29"/>
  <c r="F40" i="29"/>
  <c r="F41" i="29"/>
  <c r="F42" i="29"/>
  <c r="F43" i="29"/>
  <c r="F44" i="29"/>
  <c r="F45" i="29"/>
  <c r="F46" i="29"/>
  <c r="F47" i="29"/>
  <c r="F48" i="29"/>
  <c r="F49" i="29"/>
  <c r="F50" i="29"/>
  <c r="F51" i="29"/>
  <c r="F52" i="29"/>
  <c r="F53" i="29"/>
  <c r="F54" i="29"/>
  <c r="F55" i="29"/>
  <c r="F57" i="29"/>
  <c r="F58" i="29"/>
  <c r="F59" i="29"/>
  <c r="F60" i="29"/>
  <c r="F61" i="29"/>
  <c r="F62" i="29"/>
  <c r="F63" i="29"/>
  <c r="F64" i="29"/>
  <c r="F65" i="29"/>
  <c r="F66" i="29"/>
  <c r="F67" i="29"/>
  <c r="F68" i="29"/>
  <c r="F69" i="29"/>
  <c r="F70" i="29"/>
  <c r="F71" i="29"/>
  <c r="F72" i="29"/>
  <c r="F73" i="29"/>
  <c r="F74" i="29"/>
  <c r="F75" i="29"/>
  <c r="F76" i="29"/>
  <c r="F77" i="29"/>
  <c r="F78" i="29"/>
  <c r="F79" i="29"/>
  <c r="F80" i="29"/>
  <c r="F81" i="29"/>
  <c r="F82" i="29"/>
  <c r="F83" i="29"/>
  <c r="F84" i="29"/>
  <c r="F85" i="29"/>
  <c r="F86" i="29"/>
  <c r="F87" i="29"/>
  <c r="F88" i="29"/>
  <c r="F89" i="29"/>
  <c r="F90" i="29"/>
  <c r="F91" i="29"/>
  <c r="F92" i="29"/>
  <c r="F93" i="29"/>
  <c r="F94" i="29"/>
  <c r="F95" i="29"/>
  <c r="F96" i="29"/>
  <c r="F97" i="29"/>
  <c r="F98" i="29"/>
  <c r="F99" i="29"/>
  <c r="F100" i="29"/>
  <c r="F101" i="29"/>
  <c r="F102" i="29"/>
  <c r="F103" i="29"/>
  <c r="F104" i="29"/>
  <c r="F105" i="29"/>
  <c r="F106" i="29"/>
  <c r="F107" i="29"/>
  <c r="F108" i="29"/>
  <c r="F109" i="29"/>
  <c r="F110" i="29"/>
  <c r="F111" i="29"/>
  <c r="F112" i="29"/>
  <c r="F113" i="29"/>
  <c r="F114" i="29"/>
  <c r="F115" i="29"/>
  <c r="F116" i="29"/>
  <c r="F117" i="29"/>
  <c r="F118" i="29"/>
  <c r="F119" i="29"/>
  <c r="F120" i="29"/>
  <c r="F121" i="29"/>
  <c r="F122" i="29"/>
  <c r="F123" i="29"/>
  <c r="F124" i="29"/>
  <c r="F125" i="29"/>
  <c r="F126" i="29"/>
  <c r="F127" i="29"/>
  <c r="F128" i="29"/>
  <c r="F129" i="29"/>
  <c r="F130" i="29"/>
  <c r="F131" i="29"/>
  <c r="F132" i="29"/>
  <c r="F133" i="29"/>
  <c r="F134" i="29"/>
  <c r="F135" i="29"/>
  <c r="F136" i="29"/>
  <c r="F137" i="29"/>
  <c r="F138" i="29"/>
  <c r="F139" i="29"/>
  <c r="F140" i="29"/>
  <c r="F141" i="29"/>
  <c r="F142" i="29"/>
  <c r="F143" i="29"/>
  <c r="F10" i="29"/>
  <c r="F11" i="29"/>
  <c r="F12" i="29"/>
  <c r="F13" i="29"/>
  <c r="F14" i="29"/>
  <c r="F15" i="29"/>
  <c r="F16" i="29"/>
  <c r="F17" i="29"/>
  <c r="F18" i="29"/>
  <c r="F19" i="29"/>
  <c r="F20" i="29"/>
  <c r="F21" i="29"/>
  <c r="F22" i="29"/>
  <c r="F23" i="29"/>
  <c r="F24" i="29"/>
  <c r="F25" i="29"/>
  <c r="J5" i="5"/>
  <c r="J15" i="6"/>
  <c r="J8" i="6" l="1"/>
  <c r="J7" i="6"/>
  <c r="J6" i="6"/>
  <c r="J5" i="6"/>
  <c r="J4" i="6"/>
  <c r="J3" i="6"/>
  <c r="J2" i="6"/>
  <c r="J3" i="5"/>
  <c r="J2" i="5"/>
  <c r="I184" i="28" l="1"/>
  <c r="I5" i="28"/>
  <c r="I12" i="28"/>
  <c r="I13" i="28"/>
  <c r="I8" i="28"/>
  <c r="I7" i="28"/>
  <c r="I17" i="28"/>
  <c r="I9" i="28"/>
  <c r="I19" i="28"/>
  <c r="I16" i="28"/>
  <c r="I11" i="28"/>
  <c r="I23" i="28"/>
  <c r="I24" i="28"/>
  <c r="I25" i="28"/>
  <c r="I26" i="28"/>
  <c r="I27" i="28"/>
  <c r="I28" i="28"/>
  <c r="M5" i="15"/>
  <c r="N5" i="15"/>
  <c r="M6" i="15"/>
  <c r="N6" i="15"/>
  <c r="M7" i="15"/>
  <c r="N7" i="15"/>
  <c r="M8" i="15"/>
  <c r="N8" i="15"/>
  <c r="M9" i="15"/>
  <c r="N9" i="15"/>
  <c r="M10" i="15"/>
  <c r="N10" i="15"/>
  <c r="M11" i="15"/>
  <c r="N11" i="15"/>
  <c r="M12" i="15"/>
  <c r="N12" i="15"/>
  <c r="M13" i="15"/>
  <c r="N13" i="15"/>
  <c r="M14" i="15"/>
  <c r="N14" i="15"/>
  <c r="M15" i="15"/>
  <c r="N15" i="15"/>
  <c r="M16" i="15"/>
  <c r="N16" i="15"/>
  <c r="M17" i="15"/>
  <c r="N17" i="15"/>
  <c r="M18" i="15"/>
  <c r="N18" i="15"/>
  <c r="M19" i="15"/>
  <c r="N19" i="15"/>
  <c r="M20" i="15"/>
  <c r="N20" i="15"/>
  <c r="M21" i="15"/>
  <c r="N21" i="15"/>
  <c r="M22" i="15"/>
  <c r="N22" i="15"/>
  <c r="M23" i="15"/>
  <c r="N23" i="15"/>
  <c r="M24" i="15"/>
  <c r="N24" i="15"/>
  <c r="M25" i="15"/>
  <c r="N25" i="15"/>
  <c r="M26" i="15"/>
  <c r="N26" i="15"/>
  <c r="M27" i="15"/>
  <c r="N27" i="15"/>
  <c r="M28" i="15"/>
  <c r="N28" i="15"/>
  <c r="M29" i="15"/>
  <c r="N29" i="15"/>
  <c r="M30" i="15"/>
  <c r="N30" i="15"/>
  <c r="M31" i="15"/>
  <c r="N31" i="15"/>
  <c r="M32" i="15"/>
  <c r="N32" i="15"/>
  <c r="M33" i="15"/>
  <c r="N33" i="15"/>
  <c r="M34" i="15"/>
  <c r="N34" i="15"/>
  <c r="M35" i="15"/>
  <c r="N35" i="15"/>
  <c r="M36" i="15"/>
  <c r="N36" i="15"/>
  <c r="M37" i="15"/>
  <c r="N37" i="15"/>
  <c r="M38" i="15"/>
  <c r="N38" i="15"/>
  <c r="M39" i="15"/>
  <c r="N39" i="15"/>
  <c r="M40" i="15"/>
  <c r="N40" i="15"/>
  <c r="M41" i="15"/>
  <c r="N41" i="15"/>
  <c r="M42" i="15"/>
  <c r="N42" i="15"/>
  <c r="M43" i="15"/>
  <c r="N43" i="15"/>
  <c r="M44" i="15"/>
  <c r="N44" i="15"/>
  <c r="M45" i="15"/>
  <c r="N45" i="15"/>
  <c r="M46" i="15"/>
  <c r="N46" i="15"/>
  <c r="M47" i="15"/>
  <c r="N47" i="15"/>
  <c r="M48" i="15"/>
  <c r="N48" i="15"/>
  <c r="M49" i="15"/>
  <c r="N49" i="15"/>
  <c r="M50" i="15"/>
  <c r="N50" i="15"/>
  <c r="M51" i="15"/>
  <c r="N51" i="15"/>
  <c r="M52" i="15"/>
  <c r="N52" i="15"/>
  <c r="M53" i="15"/>
  <c r="N53" i="15"/>
  <c r="M54" i="15"/>
  <c r="N54" i="15"/>
  <c r="M55" i="15"/>
  <c r="N55" i="15"/>
  <c r="M56" i="15"/>
  <c r="N56" i="15"/>
  <c r="M57" i="15"/>
  <c r="N57" i="15"/>
  <c r="M58" i="15"/>
  <c r="N58" i="15"/>
  <c r="M59" i="15"/>
  <c r="N59" i="15"/>
  <c r="M60" i="15"/>
  <c r="N60" i="15"/>
  <c r="M61" i="15"/>
  <c r="N61" i="15"/>
  <c r="M62" i="15"/>
  <c r="N62" i="15"/>
  <c r="M63" i="15"/>
  <c r="N63" i="15"/>
  <c r="M64" i="15"/>
  <c r="N64" i="15"/>
  <c r="M65" i="15"/>
  <c r="N65" i="15"/>
  <c r="M66" i="15"/>
  <c r="N66" i="15"/>
  <c r="M67" i="15"/>
  <c r="N67" i="15"/>
  <c r="M68" i="15"/>
  <c r="N68" i="15"/>
  <c r="M69" i="15"/>
  <c r="N69" i="15"/>
  <c r="M70" i="15"/>
  <c r="N70" i="15"/>
  <c r="M71" i="15"/>
  <c r="N71" i="15"/>
  <c r="M72" i="15"/>
  <c r="N72" i="15"/>
  <c r="M73" i="15"/>
  <c r="N73" i="15"/>
  <c r="M74" i="15"/>
  <c r="N74" i="15"/>
  <c r="M75" i="15"/>
  <c r="N75" i="15"/>
  <c r="M76" i="15"/>
  <c r="N76" i="15"/>
  <c r="M77" i="15"/>
  <c r="N77" i="15"/>
  <c r="M78" i="15"/>
  <c r="N78" i="15"/>
  <c r="M79" i="15"/>
  <c r="N79" i="15"/>
  <c r="M80" i="15"/>
  <c r="N80" i="15"/>
  <c r="M81" i="15"/>
  <c r="N81" i="15"/>
  <c r="M82" i="15"/>
  <c r="N82" i="15"/>
  <c r="M83" i="15"/>
  <c r="N83" i="15"/>
  <c r="M84" i="15"/>
  <c r="N84" i="15"/>
  <c r="M85" i="15"/>
  <c r="N85" i="15"/>
  <c r="M86" i="15"/>
  <c r="N86" i="15"/>
  <c r="M87" i="15"/>
  <c r="N87" i="15"/>
  <c r="M88" i="15"/>
  <c r="N88" i="15"/>
  <c r="M89" i="15"/>
  <c r="N89" i="15"/>
  <c r="M90" i="15"/>
  <c r="N90" i="15"/>
  <c r="M91" i="15"/>
  <c r="N91" i="15"/>
  <c r="M92" i="15"/>
  <c r="N92" i="15"/>
  <c r="M93" i="15"/>
  <c r="N93" i="15"/>
  <c r="M94" i="15"/>
  <c r="N94" i="15"/>
  <c r="M95" i="15"/>
  <c r="N95" i="15"/>
  <c r="M96" i="15"/>
  <c r="N96" i="15"/>
  <c r="M97" i="15"/>
  <c r="N97" i="15"/>
  <c r="M98" i="15"/>
  <c r="N98" i="15"/>
  <c r="M99" i="15"/>
  <c r="N99" i="15"/>
  <c r="M100" i="15"/>
  <c r="N100" i="15"/>
  <c r="M101" i="15"/>
  <c r="N101" i="15"/>
  <c r="M102" i="15"/>
  <c r="N102" i="15"/>
  <c r="M103" i="15"/>
  <c r="N103" i="15"/>
  <c r="M104" i="15"/>
  <c r="N104" i="15"/>
  <c r="M105" i="15"/>
  <c r="N105" i="15"/>
  <c r="M106" i="15"/>
  <c r="N106" i="15"/>
  <c r="M107" i="15"/>
  <c r="N107" i="15"/>
  <c r="M108" i="15"/>
  <c r="N108" i="15"/>
  <c r="M109" i="15"/>
  <c r="N109" i="15"/>
  <c r="M110" i="15"/>
  <c r="N110" i="15"/>
  <c r="M111" i="15"/>
  <c r="N111" i="15"/>
  <c r="M112" i="15"/>
  <c r="N112" i="15"/>
  <c r="M113" i="15"/>
  <c r="N113" i="15"/>
  <c r="M114" i="15"/>
  <c r="N114" i="15"/>
  <c r="M115" i="15"/>
  <c r="N115" i="15"/>
  <c r="M116" i="15"/>
  <c r="N116" i="15"/>
  <c r="M117" i="15"/>
  <c r="N117" i="15"/>
  <c r="M118" i="15"/>
  <c r="N118" i="15"/>
  <c r="M119" i="15"/>
  <c r="N119" i="15"/>
  <c r="M120" i="15"/>
  <c r="N120" i="15"/>
  <c r="M121" i="15"/>
  <c r="N121" i="15"/>
  <c r="M122" i="15"/>
  <c r="N122" i="15"/>
  <c r="M123" i="15"/>
  <c r="N123" i="15"/>
  <c r="M124" i="15"/>
  <c r="N124" i="15"/>
  <c r="M125" i="15"/>
  <c r="N125" i="15"/>
  <c r="M126" i="15"/>
  <c r="N126" i="15"/>
  <c r="M127" i="15"/>
  <c r="N127" i="15"/>
  <c r="M128" i="15"/>
  <c r="N128" i="15"/>
  <c r="M129" i="15"/>
  <c r="N129" i="15"/>
  <c r="M130" i="15"/>
  <c r="N130" i="15"/>
  <c r="M131" i="15"/>
  <c r="N131" i="15"/>
  <c r="M132" i="15"/>
  <c r="N132" i="15"/>
  <c r="M133" i="15"/>
  <c r="N133" i="15"/>
  <c r="M134" i="15"/>
  <c r="N134" i="15"/>
  <c r="M135" i="15"/>
  <c r="N135" i="15"/>
  <c r="M136" i="15"/>
  <c r="N136" i="15"/>
  <c r="M137" i="15"/>
  <c r="N137" i="15"/>
  <c r="M138" i="15"/>
  <c r="N138" i="15"/>
  <c r="M139" i="15"/>
  <c r="N139" i="15"/>
  <c r="M140" i="15"/>
  <c r="N140" i="15"/>
  <c r="M141" i="15"/>
  <c r="N141" i="15"/>
  <c r="M142" i="15"/>
  <c r="N142" i="15"/>
  <c r="M143" i="15"/>
  <c r="N143" i="15"/>
  <c r="M144" i="15"/>
  <c r="N144" i="15"/>
  <c r="M145" i="15"/>
  <c r="N145" i="15"/>
  <c r="M146" i="15"/>
  <c r="N146" i="15"/>
  <c r="M147" i="15"/>
  <c r="N147" i="15"/>
  <c r="M148" i="15"/>
  <c r="N148" i="15"/>
  <c r="M149" i="15"/>
  <c r="N149" i="15"/>
  <c r="M150" i="15"/>
  <c r="N150" i="15"/>
  <c r="M151" i="15"/>
  <c r="N151" i="15"/>
  <c r="M152" i="15"/>
  <c r="N152" i="15"/>
  <c r="M153" i="15"/>
  <c r="N153" i="15"/>
  <c r="M154" i="15"/>
  <c r="N154" i="15"/>
  <c r="M155" i="15"/>
  <c r="N155" i="15"/>
  <c r="M156" i="15"/>
  <c r="N156" i="15"/>
  <c r="M157" i="15"/>
  <c r="N157" i="15"/>
  <c r="M158" i="15"/>
  <c r="N158" i="15"/>
  <c r="M159" i="15"/>
  <c r="N159" i="15"/>
  <c r="M160" i="15"/>
  <c r="N160" i="15"/>
  <c r="M161" i="15"/>
  <c r="N161" i="15"/>
  <c r="M162" i="15"/>
  <c r="N162" i="15"/>
  <c r="M163" i="15"/>
  <c r="N163" i="15"/>
  <c r="M164" i="15"/>
  <c r="N164" i="15"/>
  <c r="M165" i="15"/>
  <c r="N165" i="15"/>
  <c r="M166" i="15"/>
  <c r="N166" i="15"/>
  <c r="M167" i="15"/>
  <c r="N167" i="15"/>
  <c r="M168" i="15"/>
  <c r="N168" i="15"/>
  <c r="M169" i="15"/>
  <c r="N169" i="15"/>
  <c r="M170" i="15"/>
  <c r="N170" i="15"/>
  <c r="M171" i="15"/>
  <c r="N171" i="15"/>
  <c r="M172" i="15"/>
  <c r="N172" i="15"/>
  <c r="M173" i="15"/>
  <c r="N173" i="15"/>
  <c r="M174" i="15"/>
  <c r="N174" i="15"/>
  <c r="M175" i="15"/>
  <c r="N175" i="15"/>
  <c r="M176" i="15"/>
  <c r="N176" i="15"/>
  <c r="M177" i="15"/>
  <c r="N177" i="15"/>
  <c r="M178" i="15"/>
  <c r="N178" i="15"/>
  <c r="M179" i="15"/>
  <c r="N179" i="15"/>
  <c r="M180" i="15"/>
  <c r="N180" i="15"/>
  <c r="M181" i="15"/>
  <c r="N181" i="15"/>
  <c r="M182" i="15"/>
  <c r="N182" i="15"/>
  <c r="M183" i="15"/>
  <c r="N183" i="15"/>
  <c r="M184" i="15"/>
  <c r="N184" i="15"/>
  <c r="M185" i="15"/>
  <c r="N185" i="15"/>
  <c r="M186" i="15"/>
  <c r="N186" i="15"/>
  <c r="M187" i="15"/>
  <c r="N187" i="15"/>
  <c r="M188" i="15"/>
  <c r="N188" i="15"/>
  <c r="M189" i="15"/>
  <c r="N189" i="15"/>
  <c r="M190" i="15"/>
  <c r="N190" i="15"/>
  <c r="M191" i="15"/>
  <c r="N191" i="15"/>
  <c r="M192" i="15"/>
  <c r="N192" i="15"/>
  <c r="M193" i="15"/>
  <c r="N193" i="15"/>
  <c r="M194" i="15"/>
  <c r="N194" i="15"/>
  <c r="M195" i="15"/>
  <c r="N195" i="15"/>
  <c r="M196" i="15"/>
  <c r="N196" i="15"/>
  <c r="M197" i="15"/>
  <c r="N197" i="15"/>
  <c r="M198" i="15"/>
  <c r="N198" i="15"/>
  <c r="M199" i="15"/>
  <c r="N199" i="15"/>
  <c r="M200" i="15"/>
  <c r="N200" i="15"/>
  <c r="M201" i="15"/>
  <c r="N201" i="15"/>
  <c r="M202" i="15"/>
  <c r="N202" i="15"/>
  <c r="M203" i="15"/>
  <c r="N203" i="15"/>
  <c r="M204" i="15"/>
  <c r="N204" i="15"/>
  <c r="M205" i="15"/>
  <c r="N205" i="15"/>
  <c r="M206" i="15"/>
  <c r="N206" i="15"/>
  <c r="M207" i="15"/>
  <c r="N207" i="15"/>
  <c r="I480" i="28" l="1"/>
  <c r="I479" i="28"/>
  <c r="I478" i="28"/>
  <c r="I477" i="28"/>
  <c r="I476" i="28"/>
  <c r="I475" i="28"/>
  <c r="I474" i="28"/>
  <c r="I473" i="28"/>
  <c r="I472" i="28"/>
  <c r="I471" i="28"/>
  <c r="I470" i="28"/>
  <c r="I469" i="28"/>
  <c r="I468" i="28"/>
  <c r="I467" i="28"/>
  <c r="I466" i="28"/>
  <c r="I465" i="28"/>
  <c r="I464" i="28"/>
  <c r="I463" i="28"/>
  <c r="I462" i="28"/>
  <c r="I461" i="28"/>
  <c r="I460" i="28"/>
  <c r="I459" i="28"/>
  <c r="I458" i="28"/>
  <c r="I457" i="28"/>
  <c r="I456" i="28"/>
  <c r="I455" i="28"/>
  <c r="I454" i="28"/>
  <c r="I453" i="28"/>
  <c r="I452" i="28"/>
  <c r="I451" i="28"/>
  <c r="I450" i="28"/>
  <c r="I449" i="28"/>
  <c r="I448" i="28"/>
  <c r="I447" i="28"/>
  <c r="I446" i="28"/>
  <c r="I445" i="28"/>
  <c r="I444" i="28"/>
  <c r="I443" i="28"/>
  <c r="I442" i="28"/>
  <c r="I441" i="28"/>
  <c r="I440" i="28"/>
  <c r="I439" i="28"/>
  <c r="I438" i="28"/>
  <c r="I437" i="28"/>
  <c r="I436" i="28"/>
  <c r="I435" i="28"/>
  <c r="I434" i="28"/>
  <c r="I433" i="28"/>
  <c r="I432" i="28"/>
  <c r="I431" i="28"/>
  <c r="I430" i="28"/>
  <c r="I429" i="28"/>
  <c r="I428" i="28"/>
  <c r="I427" i="28"/>
  <c r="I426" i="28"/>
  <c r="I425" i="28"/>
  <c r="I424" i="28"/>
  <c r="I423" i="28"/>
  <c r="I422" i="28"/>
  <c r="I421" i="28"/>
  <c r="I420" i="28"/>
  <c r="I419" i="28"/>
  <c r="I418" i="28"/>
  <c r="I417" i="28"/>
  <c r="I416" i="28"/>
  <c r="I415" i="28"/>
  <c r="I414" i="28"/>
  <c r="I413" i="28"/>
  <c r="I412" i="28"/>
  <c r="I411" i="28"/>
  <c r="I410" i="28"/>
  <c r="I409" i="28"/>
  <c r="I408" i="28"/>
  <c r="I407" i="28"/>
  <c r="I406" i="28"/>
  <c r="I405" i="28"/>
  <c r="I404" i="28"/>
  <c r="I403" i="28"/>
  <c r="I402" i="28"/>
  <c r="I401" i="28"/>
  <c r="I400" i="28"/>
  <c r="I399" i="28"/>
  <c r="I398" i="28"/>
  <c r="I397" i="28"/>
  <c r="I396" i="28"/>
  <c r="I395" i="28"/>
  <c r="I394" i="28"/>
  <c r="I393" i="28"/>
  <c r="I392" i="28"/>
  <c r="I391" i="28"/>
  <c r="I390" i="28"/>
  <c r="I389" i="28"/>
  <c r="I388" i="28"/>
  <c r="I387" i="28"/>
  <c r="I386" i="28"/>
  <c r="I385" i="28"/>
  <c r="I384" i="28"/>
  <c r="I383" i="28"/>
  <c r="I382" i="28"/>
  <c r="I381" i="28"/>
  <c r="I380" i="28"/>
  <c r="I379" i="28"/>
  <c r="I378" i="28"/>
  <c r="I377" i="28"/>
  <c r="I376" i="28"/>
  <c r="I375" i="28"/>
  <c r="I374" i="28"/>
  <c r="I373" i="28"/>
  <c r="I372" i="28"/>
  <c r="I371" i="28"/>
  <c r="I370" i="28"/>
  <c r="I369" i="28"/>
  <c r="I368" i="28"/>
  <c r="I367" i="28"/>
  <c r="I366" i="28"/>
  <c r="I365" i="28"/>
  <c r="I364" i="28"/>
  <c r="I363" i="28"/>
  <c r="I362" i="28"/>
  <c r="I361" i="28"/>
  <c r="I360" i="28"/>
  <c r="I359" i="28"/>
  <c r="I358" i="28"/>
  <c r="I357" i="28"/>
  <c r="I356" i="28"/>
  <c r="I355" i="28"/>
  <c r="I354" i="28"/>
  <c r="I353" i="28"/>
  <c r="I352" i="28"/>
  <c r="I351" i="28"/>
  <c r="I350" i="28"/>
  <c r="I349" i="28"/>
  <c r="I348" i="28"/>
  <c r="I347" i="28"/>
  <c r="I346" i="28"/>
  <c r="I345" i="28"/>
  <c r="I344" i="28"/>
  <c r="I343" i="28"/>
  <c r="I342" i="28"/>
  <c r="I341" i="28"/>
  <c r="I340" i="28"/>
  <c r="I339" i="28"/>
  <c r="I338" i="28"/>
  <c r="I337" i="28"/>
  <c r="I336" i="28"/>
  <c r="I335" i="28"/>
  <c r="I334" i="28"/>
  <c r="I333" i="28"/>
  <c r="I332" i="28"/>
  <c r="I331" i="28"/>
  <c r="I330" i="28"/>
  <c r="I329" i="28"/>
  <c r="I328" i="28"/>
  <c r="I327" i="28"/>
  <c r="I326" i="28"/>
  <c r="I325" i="28"/>
  <c r="I324" i="28"/>
  <c r="I323" i="28"/>
  <c r="I322" i="28"/>
  <c r="I321" i="28"/>
  <c r="I320" i="28"/>
  <c r="I319" i="28"/>
  <c r="I318" i="28"/>
  <c r="I317" i="28"/>
  <c r="I316" i="28"/>
  <c r="I315" i="28"/>
  <c r="I314" i="28"/>
  <c r="I313" i="28"/>
  <c r="I312" i="28"/>
  <c r="I311" i="28"/>
  <c r="I310" i="28"/>
  <c r="I309" i="28"/>
  <c r="I308" i="28"/>
  <c r="I307" i="28"/>
  <c r="I306" i="28"/>
  <c r="I305" i="28"/>
  <c r="I304" i="28"/>
  <c r="I303" i="28"/>
  <c r="I302" i="28"/>
  <c r="I301" i="28"/>
  <c r="I300" i="28"/>
  <c r="I299" i="28"/>
  <c r="I298" i="28"/>
  <c r="I297" i="28"/>
  <c r="I296" i="28"/>
  <c r="I295" i="28"/>
  <c r="I294" i="28"/>
  <c r="I293" i="28"/>
  <c r="I292" i="28"/>
  <c r="I291" i="28"/>
  <c r="I290" i="28"/>
  <c r="I289" i="28"/>
  <c r="I288" i="28"/>
  <c r="I287" i="28"/>
  <c r="I286" i="28"/>
  <c r="I285" i="28"/>
  <c r="I284" i="28"/>
  <c r="I283" i="28"/>
  <c r="I282" i="28"/>
  <c r="I281" i="28"/>
  <c r="I280" i="28"/>
  <c r="I279" i="28"/>
  <c r="I278" i="28"/>
  <c r="I277" i="28"/>
  <c r="I276" i="28"/>
  <c r="I275" i="28"/>
  <c r="I274" i="28"/>
  <c r="I273" i="28"/>
  <c r="I272" i="28"/>
  <c r="I271" i="28"/>
  <c r="I270" i="28"/>
  <c r="I269" i="28"/>
  <c r="I268" i="28"/>
  <c r="I267" i="28"/>
  <c r="I266" i="28"/>
  <c r="I265" i="28"/>
  <c r="I264" i="28"/>
  <c r="I263" i="28"/>
  <c r="I262" i="28"/>
  <c r="I261" i="28"/>
  <c r="I260" i="28"/>
  <c r="I259" i="28"/>
  <c r="I258" i="28"/>
  <c r="I257" i="28"/>
  <c r="I256" i="28"/>
  <c r="I255" i="28"/>
  <c r="I254" i="28"/>
  <c r="I253" i="28"/>
  <c r="I252" i="28"/>
  <c r="I251" i="28"/>
  <c r="I250" i="28"/>
  <c r="I249" i="28"/>
  <c r="I248" i="28"/>
  <c r="I247" i="28"/>
  <c r="I246" i="28"/>
  <c r="I245" i="28"/>
  <c r="I244" i="28"/>
  <c r="I243" i="28"/>
  <c r="I242" i="28"/>
  <c r="I241" i="28"/>
  <c r="I240" i="28"/>
  <c r="I239" i="28"/>
  <c r="I238" i="28"/>
  <c r="I237" i="28"/>
  <c r="I236" i="28"/>
  <c r="I235" i="28"/>
  <c r="I234" i="28"/>
  <c r="I233" i="28"/>
  <c r="I232" i="28"/>
  <c r="I231" i="28"/>
  <c r="I230" i="28"/>
  <c r="I229" i="28"/>
  <c r="I228" i="28"/>
  <c r="I227" i="28"/>
  <c r="I226" i="28"/>
  <c r="I225" i="28"/>
  <c r="I224" i="28"/>
  <c r="I223" i="28"/>
  <c r="I222" i="28"/>
  <c r="I221" i="28"/>
  <c r="I220" i="28"/>
  <c r="I219" i="28"/>
  <c r="I218" i="28"/>
  <c r="I217" i="28"/>
  <c r="I216" i="28"/>
  <c r="I215" i="28"/>
  <c r="I214" i="28"/>
  <c r="I213" i="28"/>
  <c r="I212" i="28"/>
  <c r="I211" i="28"/>
  <c r="I210" i="28"/>
  <c r="I209" i="28"/>
  <c r="I208" i="28"/>
  <c r="I207" i="28"/>
  <c r="I206" i="28"/>
  <c r="I205" i="28"/>
  <c r="I204" i="28"/>
  <c r="I203" i="28"/>
  <c r="I202" i="28"/>
  <c r="I201" i="28"/>
  <c r="I200" i="28"/>
  <c r="I199" i="28"/>
  <c r="I198" i="28"/>
  <c r="I197" i="28"/>
  <c r="I196" i="28"/>
  <c r="I195" i="28"/>
  <c r="I194" i="28"/>
  <c r="I193" i="28"/>
  <c r="I192" i="28"/>
  <c r="I191" i="28"/>
  <c r="I190" i="28"/>
  <c r="I189" i="28"/>
  <c r="I188" i="28"/>
  <c r="I187" i="28"/>
  <c r="I186" i="28"/>
  <c r="I185" i="28"/>
  <c r="I183" i="28"/>
  <c r="I182" i="28"/>
  <c r="I181" i="28"/>
  <c r="I180" i="28"/>
  <c r="I179" i="28"/>
  <c r="I178" i="28"/>
  <c r="I177" i="28"/>
  <c r="I176" i="28"/>
  <c r="I175" i="28"/>
  <c r="I174" i="28"/>
  <c r="I173" i="28"/>
  <c r="I172" i="28"/>
  <c r="I171" i="28"/>
  <c r="I170" i="28"/>
  <c r="I169" i="28"/>
  <c r="I168" i="28"/>
  <c r="I167" i="28"/>
  <c r="I166" i="28"/>
  <c r="I165" i="28"/>
  <c r="I164" i="28"/>
  <c r="I163" i="28"/>
  <c r="I162" i="28"/>
  <c r="I161" i="28"/>
  <c r="I160" i="28"/>
  <c r="I159" i="28"/>
  <c r="I158" i="28"/>
  <c r="I157" i="28"/>
  <c r="I156" i="28"/>
  <c r="I155" i="28"/>
  <c r="I154" i="28"/>
  <c r="I153" i="28"/>
  <c r="I152" i="28"/>
  <c r="I151" i="28"/>
  <c r="I150" i="28"/>
  <c r="I149" i="28"/>
  <c r="I148" i="28"/>
  <c r="I147" i="28"/>
  <c r="I146" i="28"/>
  <c r="I145" i="28"/>
  <c r="I144" i="28"/>
  <c r="I143" i="28"/>
  <c r="I142" i="28"/>
  <c r="I141" i="28"/>
  <c r="I140" i="28"/>
  <c r="I139" i="28"/>
  <c r="I138" i="28"/>
  <c r="I137" i="28"/>
  <c r="I136" i="28"/>
  <c r="I135" i="28"/>
  <c r="I134" i="28"/>
  <c r="I133" i="28"/>
  <c r="I132" i="28"/>
  <c r="I131" i="28"/>
  <c r="I130" i="28"/>
  <c r="I129" i="28"/>
  <c r="I128" i="28"/>
  <c r="I127" i="28"/>
  <c r="I126" i="28"/>
  <c r="I125" i="28"/>
  <c r="I124" i="28"/>
  <c r="I123" i="28"/>
  <c r="I122" i="28"/>
  <c r="I121" i="28"/>
  <c r="I120" i="28"/>
  <c r="I119" i="28"/>
  <c r="I118" i="28"/>
  <c r="I117" i="28"/>
  <c r="I116" i="28"/>
  <c r="I115" i="28"/>
  <c r="I114" i="28"/>
  <c r="I113" i="28"/>
  <c r="I112" i="28"/>
  <c r="I111" i="28"/>
  <c r="I110" i="28"/>
  <c r="I109" i="28"/>
  <c r="I108" i="28"/>
  <c r="I107" i="28"/>
  <c r="I106" i="28"/>
  <c r="I105" i="28"/>
  <c r="I104" i="28"/>
  <c r="I103" i="28"/>
  <c r="I102" i="28"/>
  <c r="I101" i="28"/>
  <c r="I100" i="28"/>
  <c r="I99" i="28"/>
  <c r="I98" i="28"/>
  <c r="I97" i="28"/>
  <c r="I96" i="28"/>
  <c r="I95" i="28"/>
  <c r="I94" i="28"/>
  <c r="I93" i="28"/>
  <c r="I92" i="28"/>
  <c r="I91" i="28"/>
  <c r="I90" i="28"/>
  <c r="I89" i="28"/>
  <c r="I88" i="28"/>
  <c r="I87" i="28"/>
  <c r="I86" i="28"/>
  <c r="I85" i="28"/>
  <c r="I84" i="28"/>
  <c r="I83" i="28"/>
  <c r="I82" i="28"/>
  <c r="I81" i="28"/>
  <c r="I80" i="28"/>
  <c r="I79" i="28"/>
  <c r="I78" i="28"/>
  <c r="I77" i="28"/>
  <c r="I76" i="28"/>
  <c r="I75" i="28"/>
  <c r="I74" i="28"/>
  <c r="I73" i="28"/>
  <c r="I72" i="28"/>
  <c r="I71" i="28"/>
  <c r="I70" i="28"/>
  <c r="I69" i="28"/>
  <c r="I68" i="28"/>
  <c r="I67" i="28"/>
  <c r="I66" i="28"/>
  <c r="I65" i="28"/>
  <c r="I64" i="28"/>
  <c r="I63" i="28"/>
  <c r="I62" i="28"/>
  <c r="I61" i="28"/>
  <c r="I60" i="28"/>
  <c r="I59" i="28"/>
  <c r="I58" i="28"/>
  <c r="I57" i="28"/>
  <c r="I56" i="28"/>
  <c r="I55" i="28"/>
  <c r="I54" i="28"/>
  <c r="I53" i="28"/>
  <c r="I52" i="28"/>
  <c r="I51" i="28"/>
  <c r="I50" i="28"/>
  <c r="I49" i="28"/>
  <c r="I48" i="28"/>
  <c r="I47" i="28"/>
  <c r="I46" i="28"/>
  <c r="I45" i="28"/>
  <c r="I44" i="28"/>
  <c r="I43" i="28"/>
  <c r="I42" i="28"/>
  <c r="I41" i="28"/>
  <c r="I40" i="28"/>
  <c r="I39" i="28"/>
  <c r="I38" i="28"/>
  <c r="I37" i="28"/>
  <c r="I36" i="28"/>
  <c r="I35" i="28"/>
  <c r="I34" i="28"/>
  <c r="I33" i="28"/>
  <c r="I32" i="28"/>
  <c r="I31" i="28"/>
  <c r="I30" i="28"/>
  <c r="I29" i="28"/>
  <c r="C17" i="25"/>
  <c r="B17" i="2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I3" i="9"/>
  <c r="J9" i="6"/>
  <c r="J10" i="6"/>
  <c r="J11" i="6"/>
  <c r="J12" i="6"/>
  <c r="J13" i="6"/>
  <c r="J14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3" i="6"/>
  <c r="J34" i="6"/>
  <c r="J35" i="6"/>
  <c r="J36" i="6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4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O48" i="15" l="1"/>
  <c r="O35" i="15"/>
  <c r="O47" i="15" l="1"/>
  <c r="O46" i="15"/>
  <c r="O45" i="15"/>
  <c r="O44" i="15"/>
  <c r="O43" i="15"/>
  <c r="O22" i="15" l="1"/>
  <c r="O23" i="15"/>
  <c r="O26" i="15"/>
  <c r="O21" i="15"/>
  <c r="O25" i="15"/>
  <c r="O24" i="15"/>
  <c r="O30" i="15" l="1"/>
  <c r="O29" i="15"/>
  <c r="O28" i="15"/>
  <c r="O27" i="15"/>
  <c r="M4" i="15" l="1"/>
  <c r="N4" i="15" l="1"/>
  <c r="J36" i="9"/>
  <c r="J37" i="9"/>
  <c r="J38" i="9"/>
  <c r="J39" i="9"/>
  <c r="J40" i="9"/>
  <c r="J41" i="9"/>
  <c r="J42" i="9"/>
  <c r="J43" i="9"/>
  <c r="J44" i="9"/>
  <c r="J45" i="9"/>
  <c r="J46" i="9"/>
  <c r="J47" i="9"/>
  <c r="J48" i="9"/>
  <c r="J49" i="9"/>
  <c r="J50" i="9"/>
  <c r="J51" i="9"/>
  <c r="J52" i="9"/>
  <c r="J53" i="9"/>
  <c r="J54" i="9"/>
  <c r="J55" i="9"/>
  <c r="J56" i="9"/>
  <c r="J57" i="9"/>
  <c r="O207" i="15" l="1"/>
  <c r="O201" i="15"/>
  <c r="O195" i="15"/>
  <c r="O204" i="15"/>
  <c r="O198" i="15"/>
  <c r="O192" i="15"/>
  <c r="O186" i="15"/>
  <c r="O180" i="15"/>
  <c r="O174" i="15"/>
  <c r="O168" i="15"/>
  <c r="O162" i="15"/>
  <c r="O156" i="15"/>
  <c r="O150" i="15"/>
  <c r="O144" i="15"/>
  <c r="O138" i="15"/>
  <c r="O132" i="15"/>
  <c r="O126" i="15"/>
  <c r="O120" i="15"/>
  <c r="O114" i="15"/>
  <c r="O108" i="15"/>
  <c r="O102" i="15"/>
  <c r="O96" i="15"/>
  <c r="O90" i="15"/>
  <c r="O84" i="15"/>
  <c r="O78" i="15"/>
  <c r="O189" i="15"/>
  <c r="O183" i="15"/>
  <c r="O177" i="15"/>
  <c r="O171" i="15"/>
  <c r="O165" i="15"/>
  <c r="O159" i="15"/>
  <c r="O153" i="15"/>
  <c r="O147" i="15"/>
  <c r="O141" i="15"/>
  <c r="O135" i="15"/>
  <c r="O129" i="15"/>
  <c r="O123" i="15"/>
  <c r="O117" i="15"/>
  <c r="O111" i="15"/>
  <c r="O105" i="15"/>
  <c r="O99" i="15"/>
  <c r="O93" i="15"/>
  <c r="O87" i="15"/>
  <c r="O81" i="15"/>
  <c r="O75" i="15"/>
  <c r="O57" i="15"/>
  <c r="O51" i="15"/>
  <c r="O39" i="15"/>
  <c r="O32" i="15"/>
  <c r="O16" i="15"/>
  <c r="O10" i="15"/>
  <c r="O72" i="15"/>
  <c r="O66" i="15"/>
  <c r="O60" i="15"/>
  <c r="O54" i="15"/>
  <c r="O69" i="15"/>
  <c r="O206" i="15"/>
  <c r="O203" i="15"/>
  <c r="O200" i="15"/>
  <c r="O197" i="15"/>
  <c r="O194" i="15"/>
  <c r="O191" i="15"/>
  <c r="O188" i="15"/>
  <c r="O185" i="15"/>
  <c r="O182" i="15"/>
  <c r="O179" i="15"/>
  <c r="O176" i="15"/>
  <c r="O173" i="15"/>
  <c r="O170" i="15"/>
  <c r="O167" i="15"/>
  <c r="O164" i="15"/>
  <c r="O161" i="15"/>
  <c r="O158" i="15"/>
  <c r="O155" i="15"/>
  <c r="O152" i="15"/>
  <c r="O149" i="15"/>
  <c r="O146" i="15"/>
  <c r="O143" i="15"/>
  <c r="O140" i="15"/>
  <c r="O137" i="15"/>
  <c r="O134" i="15"/>
  <c r="O131" i="15"/>
  <c r="O128" i="15"/>
  <c r="O125" i="15"/>
  <c r="O122" i="15"/>
  <c r="O119" i="15"/>
  <c r="O116" i="15"/>
  <c r="O113" i="15"/>
  <c r="O110" i="15"/>
  <c r="O107" i="15"/>
  <c r="O104" i="15"/>
  <c r="O101" i="15"/>
  <c r="O98" i="15"/>
  <c r="O95" i="15"/>
  <c r="O92" i="15"/>
  <c r="O89" i="15"/>
  <c r="O86" i="15"/>
  <c r="O83" i="15"/>
  <c r="O80" i="15"/>
  <c r="O77" i="15"/>
  <c r="O74" i="15"/>
  <c r="O71" i="15"/>
  <c r="O68" i="15"/>
  <c r="O65" i="15"/>
  <c r="O59" i="15"/>
  <c r="O56" i="15"/>
  <c r="O53" i="15"/>
  <c r="O41" i="15"/>
  <c r="O34" i="15"/>
  <c r="O18" i="15"/>
  <c r="O12" i="15"/>
  <c r="O205" i="15"/>
  <c r="O202" i="15"/>
  <c r="O199" i="15"/>
  <c r="O196" i="15"/>
  <c r="O193" i="15"/>
  <c r="O190" i="15"/>
  <c r="O187" i="15"/>
  <c r="O184" i="15"/>
  <c r="O181" i="15"/>
  <c r="O178" i="15"/>
  <c r="O175" i="15"/>
  <c r="O172" i="15"/>
  <c r="O169" i="15"/>
  <c r="O166" i="15"/>
  <c r="O163" i="15"/>
  <c r="O160" i="15"/>
  <c r="O157" i="15"/>
  <c r="O154" i="15"/>
  <c r="O151" i="15"/>
  <c r="O148" i="15"/>
  <c r="O145" i="15"/>
  <c r="O142" i="15"/>
  <c r="O139" i="15"/>
  <c r="O136" i="15"/>
  <c r="O133" i="15"/>
  <c r="O130" i="15"/>
  <c r="O127" i="15"/>
  <c r="O124" i="15"/>
  <c r="O121" i="15"/>
  <c r="O118" i="15"/>
  <c r="O115" i="15"/>
  <c r="O112" i="15"/>
  <c r="O109" i="15"/>
  <c r="O106" i="15"/>
  <c r="O103" i="15"/>
  <c r="O100" i="15"/>
  <c r="O97" i="15"/>
  <c r="O94" i="15"/>
  <c r="O91" i="15"/>
  <c r="O88" i="15"/>
  <c r="O85" i="15"/>
  <c r="O82" i="15"/>
  <c r="O79" i="15"/>
  <c r="O76" i="15"/>
  <c r="O73" i="15"/>
  <c r="O70" i="15"/>
  <c r="O67" i="15"/>
  <c r="O64" i="15"/>
  <c r="O58" i="15"/>
  <c r="O55" i="15"/>
  <c r="O50" i="15"/>
  <c r="O37" i="15"/>
  <c r="O20" i="15"/>
  <c r="O14" i="15"/>
  <c r="O8" i="15"/>
  <c r="O63" i="15"/>
  <c r="O62" i="15"/>
  <c r="O61" i="15"/>
  <c r="O52" i="15"/>
  <c r="O49" i="15"/>
  <c r="O42" i="15"/>
  <c r="O40" i="15"/>
  <c r="O38" i="15"/>
  <c r="O36" i="15"/>
  <c r="O33" i="15"/>
  <c r="O31" i="15"/>
  <c r="O19" i="15"/>
  <c r="O17" i="15"/>
  <c r="O15" i="15"/>
  <c r="O13" i="15"/>
  <c r="O11" i="15"/>
  <c r="O9" i="15"/>
  <c r="O6" i="15"/>
  <c r="O7" i="15"/>
  <c r="O5" i="15"/>
  <c r="O4" i="15"/>
  <c r="I36" i="9"/>
  <c r="I37" i="9"/>
  <c r="I38" i="9"/>
  <c r="I39" i="9"/>
  <c r="I40" i="9"/>
  <c r="I41" i="9"/>
  <c r="I42" i="9"/>
  <c r="I43" i="9"/>
  <c r="I44" i="9"/>
  <c r="I45" i="9"/>
  <c r="I46" i="9"/>
  <c r="I47" i="9"/>
  <c r="I48" i="9"/>
  <c r="I49" i="9"/>
  <c r="I50" i="9"/>
  <c r="I51" i="9"/>
  <c r="I52" i="9"/>
  <c r="I53" i="9"/>
  <c r="I54" i="9"/>
  <c r="I55" i="9"/>
  <c r="I56" i="9"/>
  <c r="I57" i="9"/>
</calcChain>
</file>

<file path=xl/sharedStrings.xml><?xml version="1.0" encoding="utf-8"?>
<sst xmlns="http://schemas.openxmlformats.org/spreadsheetml/2006/main" count="2145" uniqueCount="765">
  <si>
    <t>MANUAL DO SIS XINGU</t>
  </si>
  <si>
    <t>Instrumento eletrônico</t>
  </si>
  <si>
    <r>
      <t>Contém formulas específica, que ajudam no preenchimento e facilitam o consolidado .</t>
    </r>
    <r>
      <rPr>
        <b/>
        <i/>
        <sz val="10"/>
        <color theme="1"/>
        <rFont val="Times New Roman"/>
        <family val="1"/>
      </rPr>
      <t xml:space="preserve"> É EXPRESSAMENTE PROIBIDO  FAZER QUALQUER</t>
    </r>
    <r>
      <rPr>
        <i/>
        <sz val="10"/>
        <color theme="1"/>
        <rFont val="Times New Roman"/>
        <family val="1"/>
      </rPr>
      <t xml:space="preserve"> </t>
    </r>
    <r>
      <rPr>
        <b/>
        <i/>
        <sz val="10"/>
        <color theme="1"/>
        <rFont val="Times New Roman"/>
        <family val="1"/>
      </rPr>
      <t>ALTERAÇÃO</t>
    </r>
    <r>
      <rPr>
        <i/>
        <sz val="10"/>
        <color theme="1"/>
        <rFont val="Times New Roman"/>
        <family val="1"/>
      </rPr>
      <t xml:space="preserve"> nas planilhas (Acrécimos de colunas, linhas e fórmulas, mesclagem de células, alteração no cabeçalho, etc.). O excel possibilita o trabalho com filtros, por isto é importante que haja uma uniformidade no registro. </t>
    </r>
  </si>
  <si>
    <t>A maior parte das planilhas contém no cabeçalho informações sobre o PADRÃO de PREENCHIMENTO. É importante atentar para esta orientação, respeitando-se REGRAS.</t>
  </si>
  <si>
    <t>NATIMORTO</t>
  </si>
  <si>
    <t>ABORTO</t>
  </si>
  <si>
    <t xml:space="preserve">IMPORTANTE!                                                                                                                                                                                                                                                                                                                                                  OS DADOS REGISTRADOS NAS PLANILHAS ELETRÔNICAS, REFERENTES AO MÊS ANTERIOR, NÃO DEVERÃO SER EXCLUÍDOS, NO MOMENTO DA CONFECÇÃO DAS PLANILHAS DO PRÓXIMO MÊS , PARA QUE POSSA SER VISUALIZADA UMA SÉRIE HISTÓRICA. ESTA ORIENTAÇÃO NÃO É VÁLIDA APENAS PARA AS PLANILHAS DE GESTANTES, AÇÕES EDUCATIVAS E SISVAN. NESTAS TRÊS PLANILHAS NÃO ACUMULAR OS DADOS REFERENTES AOS MESES ANTERIORES. </t>
  </si>
  <si>
    <t>ÓBITO</t>
  </si>
  <si>
    <t>SEM INFORMAÇÃO</t>
  </si>
  <si>
    <t>Grafia</t>
  </si>
  <si>
    <t>FINAL DE GESTAÇÃO</t>
  </si>
  <si>
    <t>Kaiabi, Caiabi, Kayabi, Jaytata, Yaytata, etc. O excel reconhece como três registros diferentes, por isso a escrita DEVE SER IGUAL.</t>
  </si>
  <si>
    <t>BANDEIRAS DE CLASSIFICAÇÃO (CAMPO GESTANTES)</t>
  </si>
  <si>
    <t xml:space="preserve">Na primeira ABA, inserimos o CENSO VACINAL correspondente a última etapa atualizada. Esta aba foi inserida para ajudar na inserção de dados dos pacientes nos campos obrigatórios nas planilhas. </t>
  </si>
  <si>
    <t>Alternativas SIM (S) NÃO (N)</t>
  </si>
  <si>
    <t>Utilizar apenas S ou N , NÃO utilizar (X), deixar a célula vazia ou escrever a palavra.</t>
  </si>
  <si>
    <t>Opções de busca por RG EPM NO CENSO</t>
  </si>
  <si>
    <t>DATA</t>
  </si>
  <si>
    <r>
      <t>1 -</t>
    </r>
    <r>
      <rPr>
        <b/>
        <sz val="11"/>
        <color theme="1"/>
        <rFont val="Calibri"/>
        <family val="2"/>
        <scheme val="minor"/>
      </rPr>
      <t xml:space="preserve"> Clique com o botão esquerdo do mouse</t>
    </r>
    <r>
      <rPr>
        <sz val="11"/>
        <color theme="1"/>
        <rFont val="Calibri"/>
        <family val="2"/>
        <scheme val="minor"/>
      </rPr>
      <t xml:space="preserve"> na coluna (</t>
    </r>
    <r>
      <rPr>
        <b/>
        <sz val="11"/>
        <color theme="1"/>
        <rFont val="Calibri"/>
        <family val="2"/>
        <scheme val="minor"/>
      </rPr>
      <t>RG EPM</t>
    </r>
    <r>
      <rPr>
        <sz val="11"/>
        <color theme="1"/>
        <rFont val="Calibri"/>
        <family val="2"/>
        <scheme val="minor"/>
      </rPr>
      <t xml:space="preserve">), em seguida precione a tecla </t>
    </r>
    <r>
      <rPr>
        <b/>
        <sz val="11"/>
        <color theme="1"/>
        <rFont val="Calibri"/>
        <family val="2"/>
        <scheme val="minor"/>
      </rPr>
      <t>Ctrl+L</t>
    </r>
    <r>
      <rPr>
        <sz val="11"/>
        <color theme="1"/>
        <rFont val="Calibri"/>
        <family val="2"/>
        <scheme val="minor"/>
      </rPr>
      <t>, aparecerá uma janelinha. Digite o RG na caixinha (</t>
    </r>
    <r>
      <rPr>
        <b/>
        <sz val="11"/>
        <color theme="1"/>
        <rFont val="Calibri"/>
        <family val="2"/>
        <scheme val="minor"/>
      </rPr>
      <t>LOCALIZAR</t>
    </r>
    <r>
      <rPr>
        <sz val="11"/>
        <color theme="1"/>
        <rFont val="Calibri"/>
        <family val="2"/>
        <scheme val="minor"/>
      </rPr>
      <t>), em seguida clique em (</t>
    </r>
    <r>
      <rPr>
        <b/>
        <sz val="11"/>
        <color theme="1"/>
        <rFont val="Calibri"/>
        <family val="2"/>
        <scheme val="minor"/>
      </rPr>
      <t>Localizar próxima</t>
    </r>
    <r>
      <rPr>
        <sz val="11"/>
        <color theme="1"/>
        <rFont val="Calibri"/>
        <family val="2"/>
        <scheme val="minor"/>
      </rPr>
      <t>) e aparecerá o RG desejado em</t>
    </r>
    <r>
      <rPr>
        <b/>
        <i/>
        <u/>
        <sz val="11"/>
        <color theme="1"/>
        <rFont val="Calibri"/>
        <family val="2"/>
        <scheme val="minor"/>
      </rPr>
      <t xml:space="preserve"> Destaque</t>
    </r>
    <r>
      <rPr>
        <sz val="11"/>
        <color theme="1"/>
        <rFont val="Calibri"/>
        <family val="2"/>
        <scheme val="minor"/>
      </rPr>
      <t xml:space="preserve"> com todos os dados do indígena.</t>
    </r>
  </si>
  <si>
    <r>
      <t>2 - Selecione todo o cabeçalho da planilha, vá para o campo de</t>
    </r>
    <r>
      <rPr>
        <b/>
        <sz val="11"/>
        <color theme="1"/>
        <rFont val="Calibri"/>
        <family val="2"/>
        <scheme val="minor"/>
      </rPr>
      <t xml:space="preserve"> ferramentas (Página Inicial - Classificar e filtrar)</t>
    </r>
    <r>
      <rPr>
        <sz val="11"/>
        <color theme="1"/>
        <rFont val="Calibri"/>
        <family val="2"/>
        <scheme val="minor"/>
      </rPr>
      <t xml:space="preserve">. Clique em </t>
    </r>
    <r>
      <rPr>
        <b/>
        <u/>
        <sz val="11"/>
        <color theme="1"/>
        <rFont val="Calibri"/>
        <family val="2"/>
        <scheme val="minor"/>
      </rPr>
      <t>Filtro</t>
    </r>
    <r>
      <rPr>
        <sz val="11"/>
        <color theme="1"/>
        <rFont val="Calibri"/>
        <family val="2"/>
        <scheme val="minor"/>
      </rPr>
      <t xml:space="preserve">, todas as colunas estarão com filtros. Clique em (RG EPM - </t>
    </r>
    <r>
      <rPr>
        <b/>
        <sz val="11"/>
        <color theme="1"/>
        <rFont val="Calibri"/>
        <family val="2"/>
        <scheme val="minor"/>
      </rPr>
      <t>filtro</t>
    </r>
    <r>
      <rPr>
        <sz val="11"/>
        <color theme="1"/>
        <rFont val="Calibri"/>
        <family val="2"/>
        <scheme val="minor"/>
      </rPr>
      <t>) aparecerá uma janelinha, digite o RG no campo (</t>
    </r>
    <r>
      <rPr>
        <b/>
        <sz val="11"/>
        <color theme="1"/>
        <rFont val="Calibri"/>
        <family val="2"/>
        <scheme val="minor"/>
      </rPr>
      <t>Pesquisar</t>
    </r>
    <r>
      <rPr>
        <sz val="11"/>
        <color theme="1"/>
        <rFont val="Calibri"/>
        <family val="2"/>
        <scheme val="minor"/>
      </rPr>
      <t xml:space="preserve">), aparecerá somente o RG cadastrado no CENSO, clique ( </t>
    </r>
    <r>
      <rPr>
        <b/>
        <sz val="11"/>
        <color theme="1"/>
        <rFont val="Calibri"/>
        <family val="2"/>
        <scheme val="minor"/>
      </rPr>
      <t>OK</t>
    </r>
    <r>
      <rPr>
        <sz val="11"/>
        <color theme="1"/>
        <rFont val="Calibri"/>
        <family val="2"/>
        <scheme val="minor"/>
      </rPr>
      <t xml:space="preserve"> ), somente os dados desejados do indígena aparecerá.</t>
    </r>
  </si>
  <si>
    <t>Registrar dia, mês e ano. Exemplo: 13/05/16</t>
  </si>
  <si>
    <t>Asterisco ( * )</t>
  </si>
  <si>
    <t>No cabeçalho das planilhas, existem campos obrigatórios de preenchimento sinalizadas com ASTERISCO.</t>
  </si>
  <si>
    <t>CENSO ALDEIA:</t>
  </si>
  <si>
    <t>DATA DA ATUALIZAÇÃO:</t>
  </si>
  <si>
    <t>Cartão SUS</t>
  </si>
  <si>
    <t>RG</t>
  </si>
  <si>
    <t>CPF</t>
  </si>
  <si>
    <t>Município</t>
  </si>
  <si>
    <t>ALDEIA</t>
  </si>
  <si>
    <t>C/F</t>
  </si>
  <si>
    <t>Nome Completo Documento</t>
  </si>
  <si>
    <t>Nome Social</t>
  </si>
  <si>
    <t>ETNIA</t>
  </si>
  <si>
    <t>RG ÁREA</t>
  </si>
  <si>
    <t>Sexo</t>
  </si>
  <si>
    <t>Nascimento</t>
  </si>
  <si>
    <t>Cartão SUS MÃE</t>
  </si>
  <si>
    <t>RG MÃE</t>
  </si>
  <si>
    <t>CPF MÃE</t>
  </si>
  <si>
    <t>RG ÁREA MÃE</t>
  </si>
  <si>
    <t>Nome Mãe</t>
  </si>
  <si>
    <t>Cartão SUS PAI</t>
  </si>
  <si>
    <t>RG PAI</t>
  </si>
  <si>
    <t>CPF PAI</t>
  </si>
  <si>
    <t>RG ÁREA PAI</t>
  </si>
  <si>
    <t>Nome Pai</t>
  </si>
  <si>
    <t>EXAMES DO PRÉ-NATAL</t>
  </si>
  <si>
    <t>História Gestacional Anterior</t>
  </si>
  <si>
    <t>BCF</t>
  </si>
  <si>
    <t>Hepatite</t>
  </si>
  <si>
    <t>HIV</t>
  </si>
  <si>
    <t>Hemograma</t>
  </si>
  <si>
    <t>Glicemia</t>
  </si>
  <si>
    <t>Urina Tipo 1</t>
  </si>
  <si>
    <t>Ultrassom</t>
  </si>
  <si>
    <t>MESES</t>
  </si>
  <si>
    <t>Cartão SUS*</t>
  </si>
  <si>
    <t>RG*</t>
  </si>
  <si>
    <t>Polo Base*</t>
  </si>
  <si>
    <t>Local de Moradia*                             (Nome da Aldeia ou Cidade)</t>
  </si>
  <si>
    <t>Nome (CENSO)*</t>
  </si>
  <si>
    <t>Etnia*</t>
  </si>
  <si>
    <t>DN da Gestante*</t>
  </si>
  <si>
    <t>IDADE</t>
  </si>
  <si>
    <t>G (n°)</t>
  </si>
  <si>
    <t>P (n°)</t>
  </si>
  <si>
    <t>A (n°)</t>
  </si>
  <si>
    <t>C (n°)</t>
  </si>
  <si>
    <t>Data da Última Menstruação - DUM (dd/mm/aaaa)</t>
  </si>
  <si>
    <t>Idade Gestacional                       (em semanas)</t>
  </si>
  <si>
    <t>ALTURA UTERINA                        1ª Consulta (cm)</t>
  </si>
  <si>
    <t>ALTURA UTERINA NA DATA DA AVALIAÇÂO</t>
  </si>
  <si>
    <t>Peso</t>
  </si>
  <si>
    <t>Altura</t>
  </si>
  <si>
    <t>IMC</t>
  </si>
  <si>
    <t>AUDÍVEL - PRESENTE</t>
  </si>
  <si>
    <t>NÃO AUDÍVEL - AUSENTE</t>
  </si>
  <si>
    <t>Data da avaliação</t>
  </si>
  <si>
    <t>Gestação de Risco                                              (S)Sim ou (N) Não</t>
  </si>
  <si>
    <t>Data do Resultado (dd/mm/aaaa)</t>
  </si>
  <si>
    <t>Teste rápido (1) Laboratorial (2)</t>
  </si>
  <si>
    <t>Reagente (1) Não Reagente(2)</t>
  </si>
  <si>
    <t>B - C</t>
  </si>
  <si>
    <t>Ausência de Anemia</t>
  </si>
  <si>
    <t>Leve a moderada(1) Grave (2)</t>
  </si>
  <si>
    <t>Valor</t>
  </si>
  <si>
    <t>Fita teste(1) Labot (2)</t>
  </si>
  <si>
    <t>Normal (1), Bact (2), Prot(3)</t>
  </si>
  <si>
    <t>Norlmal (1) Alter(2)</t>
  </si>
  <si>
    <t>PROFISSIONAL RESPONSÁVEL</t>
  </si>
  <si>
    <t>Observação</t>
  </si>
  <si>
    <t>LEONARDO</t>
  </si>
  <si>
    <t>ALDEIA WAURA</t>
  </si>
  <si>
    <t>YALUPA</t>
  </si>
  <si>
    <t>WAURA</t>
  </si>
  <si>
    <t>39+5</t>
  </si>
  <si>
    <t xml:space="preserve"> -</t>
  </si>
  <si>
    <t>S</t>
  </si>
  <si>
    <t>Enf Amanda e Dayane</t>
  </si>
  <si>
    <t>paciente segue na casai</t>
  </si>
  <si>
    <t>KAMAYURA</t>
  </si>
  <si>
    <t xml:space="preserve">MALU </t>
  </si>
  <si>
    <t>KAMAYURÁ</t>
  </si>
  <si>
    <t>09/05/202</t>
  </si>
  <si>
    <t>36+5</t>
  </si>
  <si>
    <t>NV</t>
  </si>
  <si>
    <t>X</t>
  </si>
  <si>
    <t>B-C</t>
  </si>
  <si>
    <t>ENF. THALYNE, TE DAYANE, AIS PAULO</t>
  </si>
  <si>
    <t>COLETADO EXAMES, AGUARDA RESULT.</t>
  </si>
  <si>
    <t>KALAPALO</t>
  </si>
  <si>
    <t>KULASSI</t>
  </si>
  <si>
    <t>36+6</t>
  </si>
  <si>
    <t>N</t>
  </si>
  <si>
    <t>ENFA AMANDA, T.E APAYUPI E WANAKA</t>
  </si>
  <si>
    <t>SEM QUEIXAS</t>
  </si>
  <si>
    <t>KAYULU</t>
  </si>
  <si>
    <t>34+2</t>
  </si>
  <si>
    <t>1.56</t>
  </si>
  <si>
    <t>x</t>
  </si>
  <si>
    <t>ENFª AMANDA</t>
  </si>
  <si>
    <t>DESEJA PARTO NA CIDADE</t>
  </si>
  <si>
    <t>UNO KOPOPO</t>
  </si>
  <si>
    <t>33+2</t>
  </si>
  <si>
    <t>1.46</t>
  </si>
  <si>
    <t>B</t>
  </si>
  <si>
    <t xml:space="preserve"> </t>
  </si>
  <si>
    <t>CANDID. VAGINAL. TTO MICONAZOL</t>
  </si>
  <si>
    <t>YAMINALU</t>
  </si>
  <si>
    <t>29+6</t>
  </si>
  <si>
    <t>1.55</t>
  </si>
  <si>
    <t>ENF AMANDA, TE DAYANE</t>
  </si>
  <si>
    <t>VAGINOSE BACTERIANA TTO METRONIDAZOL</t>
  </si>
  <si>
    <t>RANILDA</t>
  </si>
  <si>
    <t>27+4</t>
  </si>
  <si>
    <t>YAWALAPITI</t>
  </si>
  <si>
    <t>RAISA YAWYTA</t>
  </si>
  <si>
    <t>26+2</t>
  </si>
  <si>
    <t>EQUIPE CASAI GAUCHA</t>
  </si>
  <si>
    <t>GESTANTE EM GAUCHA</t>
  </si>
  <si>
    <t>USIXUWI</t>
  </si>
  <si>
    <t>16.5</t>
  </si>
  <si>
    <t>ALDEIA SAIDÃO</t>
  </si>
  <si>
    <t>YAPAKUALU</t>
  </si>
  <si>
    <t>AWETI</t>
  </si>
  <si>
    <t>1.50</t>
  </si>
  <si>
    <t>ENF THALYNE</t>
  </si>
  <si>
    <t>ENCAMINHADA PARA CASAI</t>
  </si>
  <si>
    <t>ALDEIA FAZENDINHA</t>
  </si>
  <si>
    <t>MANUAIRU</t>
  </si>
  <si>
    <t>NAFUKUA</t>
  </si>
  <si>
    <t>ENFª AMANDA E VOL KAIMI</t>
  </si>
  <si>
    <t>QX SANGRAMENTO</t>
  </si>
  <si>
    <t>ALDEIA NAFUKUA</t>
  </si>
  <si>
    <t>AGUIHUA</t>
  </si>
  <si>
    <t>19+4</t>
  </si>
  <si>
    <t>ENFA AMANDA E VOL KAIMI</t>
  </si>
  <si>
    <t>NÃO TEM</t>
  </si>
  <si>
    <t>CUIAPALU</t>
  </si>
  <si>
    <t>ENF VIVIAN E ENFA AMANDA</t>
  </si>
  <si>
    <t>LU MAY TSALU</t>
  </si>
  <si>
    <t>17+5</t>
  </si>
  <si>
    <t>KAIGU</t>
  </si>
  <si>
    <t>13+4</t>
  </si>
  <si>
    <t>ENFA AMANDA, TE APAYUPI E WANAKA</t>
  </si>
  <si>
    <t>ALDEIA SÃO JORGE</t>
  </si>
  <si>
    <t>PARUYA</t>
  </si>
  <si>
    <t>8+4</t>
  </si>
  <si>
    <t>1.54</t>
  </si>
  <si>
    <t>23.6</t>
  </si>
  <si>
    <t>GESTANTE FORA DA ALDEIA</t>
  </si>
  <si>
    <t>AUSENTE NA VIGILANCIA</t>
  </si>
  <si>
    <t>ALDEIA AWETI</t>
  </si>
  <si>
    <t>YANUPITI</t>
  </si>
  <si>
    <t>11+6</t>
  </si>
  <si>
    <t>ENFA AMANDA, T.E APAYUPI , ANDRE E AIS CARISE</t>
  </si>
  <si>
    <t>QUEIXA SGTO. ESPECULAR NORMAL</t>
  </si>
  <si>
    <t>ALDEIA KALAPALO</t>
  </si>
  <si>
    <t xml:space="preserve">PATRÍCIA </t>
  </si>
  <si>
    <t>ALDEIA LEONARDO</t>
  </si>
  <si>
    <t>KUYAFI/SAFIA</t>
  </si>
  <si>
    <t>KUIKURO</t>
  </si>
  <si>
    <t>ENFA AMANDA, T.E LEONARDO</t>
  </si>
  <si>
    <t>ENJOO LEVE</t>
  </si>
  <si>
    <t>ALDEIA APYAP</t>
  </si>
  <si>
    <t>YAKUPE</t>
  </si>
  <si>
    <t>25+1</t>
  </si>
  <si>
    <t xml:space="preserve"> ENF THALYNE </t>
  </si>
  <si>
    <t>SOLICITADO PARA EXAMES</t>
  </si>
  <si>
    <t>AKUAGU</t>
  </si>
  <si>
    <t>29+5</t>
  </si>
  <si>
    <t xml:space="preserve"> - </t>
  </si>
  <si>
    <t>898 0041 2213 2128</t>
  </si>
  <si>
    <t>KAHALA</t>
  </si>
  <si>
    <t>13+6</t>
  </si>
  <si>
    <t>KERREY</t>
  </si>
  <si>
    <t>Número de consultas no 1º Trimestre</t>
  </si>
  <si>
    <t>Número de consultas no 2º Trimestre</t>
  </si>
  <si>
    <t>Número de consultas no 3º Trimestre</t>
  </si>
  <si>
    <t>Parto</t>
  </si>
  <si>
    <t>Puerpério</t>
  </si>
  <si>
    <t>Nome/Etnia (CENSO)*</t>
  </si>
  <si>
    <t>DN da Gestante* (dd/mm/aaaa)</t>
  </si>
  <si>
    <t>Idade (anos)</t>
  </si>
  <si>
    <t>GESTAÇÃO DE RISCO                                                           SIM (S)     NÃO (N)</t>
  </si>
  <si>
    <t>Médico</t>
  </si>
  <si>
    <t>Enfermeira</t>
  </si>
  <si>
    <t>Aux.  e Téc. Enfermagem ou AIS</t>
  </si>
  <si>
    <t>Medico</t>
  </si>
  <si>
    <t>Total Consultas</t>
  </si>
  <si>
    <t>Data do Parto (dd/mm/aaaa)</t>
  </si>
  <si>
    <t xml:space="preserve">Local do Parto (Nome da Aldeia ou Cidade) </t>
  </si>
  <si>
    <t>Tipo de Parto                   1- Normal                   2- Cesárea         3 - Aborto</t>
  </si>
  <si>
    <t>Data Consulta no Puerpério          (até 42 dias pós parto) (dd/mm/aaaa)</t>
  </si>
  <si>
    <t xml:space="preserve">Local da Avaliação                1 - Aldeia   2 -Polo       3 - Casai  4 - Outra </t>
  </si>
  <si>
    <t>Profissional responsavel</t>
  </si>
  <si>
    <r>
      <t xml:space="preserve"> </t>
    </r>
    <r>
      <rPr>
        <b/>
        <sz val="22"/>
        <rFont val="Calibri"/>
        <family val="2"/>
        <scheme val="minor"/>
      </rPr>
      <t>JANEIRO</t>
    </r>
  </si>
  <si>
    <t>PIYULAGA/WAURA</t>
  </si>
  <si>
    <t>YAMULU</t>
  </si>
  <si>
    <t>PIYULAGA</t>
  </si>
  <si>
    <t>ENFA AMANDA</t>
  </si>
  <si>
    <t>HATSINHAKU</t>
  </si>
  <si>
    <t xml:space="preserve">BARRA DO GARÇAS </t>
  </si>
  <si>
    <t>HOSPITAL BARRA DO GARÇAS</t>
  </si>
  <si>
    <t>MUDOU-SE NA GESTAÇÃO PARA BARRA</t>
  </si>
  <si>
    <t xml:space="preserve">KAMAYURA </t>
  </si>
  <si>
    <t>MARISA KAMIRU</t>
  </si>
  <si>
    <t>Enfa. THALYNE</t>
  </si>
  <si>
    <t>Equipe comunicada 23/01 sobre nascimento</t>
  </si>
  <si>
    <t>SINASC</t>
  </si>
  <si>
    <t>Polo Base</t>
  </si>
  <si>
    <t>Local de Moradia*  (Nome da Aldeia ou Cidade)</t>
  </si>
  <si>
    <t>Nome</t>
  </si>
  <si>
    <t>Sexo (M/F)*</t>
  </si>
  <si>
    <t>Etnia</t>
  </si>
  <si>
    <t>Data de Nascimento* (dd/mm/aaaa)</t>
  </si>
  <si>
    <t>Idade</t>
  </si>
  <si>
    <t>Local Parto* (Nome da Aldeia ou Cidade)</t>
  </si>
  <si>
    <t>Tipo de Parto*     Normal (1)          Cesário (2)</t>
  </si>
  <si>
    <t>Peso (g)</t>
  </si>
  <si>
    <t>Estatura (cm)</t>
  </si>
  <si>
    <t>PT (cm)</t>
  </si>
  <si>
    <t>PC (cm)</t>
  </si>
  <si>
    <t>Assistência ao Parto        1- Parteira                         2- Médico                          3- Enfermeira                    4- AIS                                    5- Parente                         6- Outros</t>
  </si>
  <si>
    <t>Nome do Profissional* Responsável pela Assistência ao Parto</t>
  </si>
  <si>
    <t>RG Mãe*</t>
  </si>
  <si>
    <t>Nome da Mãe (CENSO)*</t>
  </si>
  <si>
    <t>RG  Pai*</t>
  </si>
  <si>
    <t>Nome do Pai (CENSO)*</t>
  </si>
  <si>
    <t>Teste do   Pezinho              1- Normal     2- Alterado   3- Não realizado</t>
  </si>
  <si>
    <t>JANEIRO</t>
  </si>
  <si>
    <t>ALDEIA PIYULAGA/WAURA</t>
  </si>
  <si>
    <t>RN DE YAMULU</t>
  </si>
  <si>
    <t>F</t>
  </si>
  <si>
    <t>ENFA AMANDA, PARTEIRA APULATO</t>
  </si>
  <si>
    <t>APAYUPI</t>
  </si>
  <si>
    <t xml:space="preserve">RN DE HATSINHAKU </t>
  </si>
  <si>
    <t>M</t>
  </si>
  <si>
    <t>PROFISSIONAIS HOSPITAL BARRA DO GARÇAS</t>
  </si>
  <si>
    <t>HATSINHAKO</t>
  </si>
  <si>
    <t>DYRMUIGANA</t>
  </si>
  <si>
    <t>RN DE KAMIRU MARISA</t>
  </si>
  <si>
    <t>PARTEIRA DA ALDEIA APYAP</t>
  </si>
  <si>
    <t>KAMIRU</t>
  </si>
  <si>
    <t>JAWAT</t>
  </si>
  <si>
    <t>RN DE YALUPA WAURA</t>
  </si>
  <si>
    <t>HOSPITAL DE QUERÊNCIA</t>
  </si>
  <si>
    <t>S. INF</t>
  </si>
  <si>
    <t>PROFISSIONAIS HOSPITAL DE QUERENCIA</t>
  </si>
  <si>
    <t>KARI</t>
  </si>
  <si>
    <t>TESTE DO PEZINHO COLETADO</t>
  </si>
  <si>
    <t>PUERICULTURA</t>
  </si>
  <si>
    <t>NOME</t>
  </si>
  <si>
    <t>SEXO</t>
  </si>
  <si>
    <t>DN</t>
  </si>
  <si>
    <t>ANOS</t>
  </si>
  <si>
    <t>DATA AVALIAÇÃO</t>
  </si>
  <si>
    <t>PESO</t>
  </si>
  <si>
    <t>ESTATURA</t>
  </si>
  <si>
    <t>PC</t>
  </si>
  <si>
    <t xml:space="preserve">PT </t>
  </si>
  <si>
    <t>PA</t>
  </si>
  <si>
    <t>AVALIACÃO DO REFLEXOS</t>
  </si>
  <si>
    <t>CLASSIFICAÇAO DO DESENVOLVIMENTO</t>
  </si>
  <si>
    <t>OBSERVAÇÃO CLINICA</t>
  </si>
  <si>
    <t>CONDUTA</t>
  </si>
  <si>
    <t>DATA DA PRÓXIMA AVALIAÇÃO</t>
  </si>
  <si>
    <t xml:space="preserve">NOME DO PROFISSIONAL </t>
  </si>
  <si>
    <t>YAMYNA KARAUTA</t>
  </si>
  <si>
    <t>PRESENTES</t>
  </si>
  <si>
    <t>ADEQUADO PARA A IDADE</t>
  </si>
  <si>
    <t>ACOMPANHAMENTO</t>
  </si>
  <si>
    <t>ENF. AMANDA / TEC ANDRE E APAYUPI</t>
  </si>
  <si>
    <t>KAIANAKU</t>
  </si>
  <si>
    <t>YALAWU</t>
  </si>
  <si>
    <t>KUTSARÁ</t>
  </si>
  <si>
    <t>IYUKALU</t>
  </si>
  <si>
    <t>CRIANÇA NA ALDEIA KIYAGALUWA</t>
  </si>
  <si>
    <t>ENFA AMANDA, T.E DAYANE</t>
  </si>
  <si>
    <t>KAYAHULALU</t>
  </si>
  <si>
    <t>91.5</t>
  </si>
  <si>
    <t>KURIPAWAKA</t>
  </si>
  <si>
    <t>47.5</t>
  </si>
  <si>
    <t>WANAHYRY</t>
  </si>
  <si>
    <t>CRIANÇA AUSENTE</t>
  </si>
  <si>
    <t>Enf Amanda, T.E DAYANE</t>
  </si>
  <si>
    <t>YAWAPA</t>
  </si>
  <si>
    <t>KANUAKATO</t>
  </si>
  <si>
    <t>CONJUTIVITE</t>
  </si>
  <si>
    <t>TTO MEDICAMENTOSO</t>
  </si>
  <si>
    <t>YAIRU</t>
  </si>
  <si>
    <t>AYUPE</t>
  </si>
  <si>
    <t>KUTSUTSUME</t>
  </si>
  <si>
    <t>ITSAU</t>
  </si>
  <si>
    <t>ACOMPANHAMENTOS</t>
  </si>
  <si>
    <t>AKUTSEPI</t>
  </si>
  <si>
    <t>RESFRIADO COMUM</t>
  </si>
  <si>
    <t>KUWEPE</t>
  </si>
  <si>
    <t>TALAPI</t>
  </si>
  <si>
    <t>KULAU</t>
  </si>
  <si>
    <t>HUYARI</t>
  </si>
  <si>
    <t>TALAKUMAI</t>
  </si>
  <si>
    <t>AMIGDALITE</t>
  </si>
  <si>
    <t>RN YAMULU</t>
  </si>
  <si>
    <t>KAUNI</t>
  </si>
  <si>
    <t>ENF. THALYNE / TEC. DAYANE</t>
  </si>
  <si>
    <t>ALAHY GAMEBY</t>
  </si>
  <si>
    <t>PNEUMONIA VIRAL</t>
  </si>
  <si>
    <t>RN DE KAITSARIM</t>
  </si>
  <si>
    <t>YPIAW</t>
  </si>
  <si>
    <t>TARINU</t>
  </si>
  <si>
    <t>KATYWAY</t>
  </si>
  <si>
    <t>FINALIZADA</t>
  </si>
  <si>
    <t>KANAWULARI</t>
  </si>
  <si>
    <t>KARI ROSIMAR</t>
  </si>
  <si>
    <t>MIA AUKAKU</t>
  </si>
  <si>
    <t>KAMIHA</t>
  </si>
  <si>
    <t>KALUANA</t>
  </si>
  <si>
    <t>AIS TRAUIN</t>
  </si>
  <si>
    <t>RAKA RAILA</t>
  </si>
  <si>
    <t>AKUKU</t>
  </si>
  <si>
    <t>MAYALU</t>
  </si>
  <si>
    <t>APYAP</t>
  </si>
  <si>
    <t>KURURUPE</t>
  </si>
  <si>
    <t>ENF Thalyne, T.E LEONARDO</t>
  </si>
  <si>
    <t>JALUMA</t>
  </si>
  <si>
    <t xml:space="preserve">AWA'I </t>
  </si>
  <si>
    <t>KAURA</t>
  </si>
  <si>
    <t>YAKAIKIRU</t>
  </si>
  <si>
    <t>KAYANALU</t>
  </si>
  <si>
    <t>KUIALU</t>
  </si>
  <si>
    <t>KAMIHIRU</t>
  </si>
  <si>
    <t>AWAE</t>
  </si>
  <si>
    <t>AIS, YURI</t>
  </si>
  <si>
    <t>ATAHUMALU</t>
  </si>
  <si>
    <t>JUMUITSUWALAI</t>
  </si>
  <si>
    <t>KAMINAPUA</t>
  </si>
  <si>
    <t>AUNALU</t>
  </si>
  <si>
    <t>TAKUNI</t>
  </si>
  <si>
    <t>TSIMO</t>
  </si>
  <si>
    <t>MAWALARA</t>
  </si>
  <si>
    <t>RN DE KAMIRU</t>
  </si>
  <si>
    <t>AMARÜ</t>
  </si>
  <si>
    <t>YUMI</t>
  </si>
  <si>
    <t>ENF Thalyne, T.E LEONARDO, AIS TOTOMAI</t>
  </si>
  <si>
    <t>YUTAI</t>
  </si>
  <si>
    <t>TATA</t>
  </si>
  <si>
    <t>KHATULLA</t>
  </si>
  <si>
    <t>INHUM</t>
  </si>
  <si>
    <t>16019</t>
  </si>
  <si>
    <t>REBECA</t>
  </si>
  <si>
    <t>LAIANE</t>
  </si>
  <si>
    <t>KALUKUMA</t>
  </si>
  <si>
    <t>EWEKA</t>
  </si>
  <si>
    <t>KIARA</t>
  </si>
  <si>
    <t>APAYATU</t>
  </si>
  <si>
    <t>ISABELLA</t>
  </si>
  <si>
    <t>YAWAITXE</t>
  </si>
  <si>
    <t>MAYUA</t>
  </si>
  <si>
    <t>KHANARY</t>
  </si>
  <si>
    <t>SEGAKU</t>
  </si>
  <si>
    <t>ENF THALYNE, T.E DAYANE</t>
  </si>
  <si>
    <t>NGAHUGU</t>
  </si>
  <si>
    <t>RESIDINDO EM BARRA DO GARÇAS</t>
  </si>
  <si>
    <t>TSEKU</t>
  </si>
  <si>
    <t>JAN/24</t>
  </si>
  <si>
    <t>AHUALU</t>
  </si>
  <si>
    <t>KANUSSI</t>
  </si>
  <si>
    <t>WADJUNI</t>
  </si>
  <si>
    <t>MAKUGU</t>
  </si>
  <si>
    <t>OGOKE</t>
  </si>
  <si>
    <t>ATAHULO</t>
  </si>
  <si>
    <t>MULUKO</t>
  </si>
  <si>
    <t>MARIKA</t>
  </si>
  <si>
    <t>HANDA</t>
  </si>
  <si>
    <t>SANAI</t>
  </si>
  <si>
    <t>KUASA</t>
  </si>
  <si>
    <t>TUISSA</t>
  </si>
  <si>
    <t>TAIRAÜ</t>
  </si>
  <si>
    <t>EGITSU</t>
  </si>
  <si>
    <t>ATAHU</t>
  </si>
  <si>
    <t>ATURARI</t>
  </si>
  <si>
    <t>FEV/23</t>
  </si>
  <si>
    <t>KUTSAMI</t>
  </si>
  <si>
    <t>KUGITSE</t>
  </si>
  <si>
    <t>KAITSALU</t>
  </si>
  <si>
    <t>JANICE</t>
  </si>
  <si>
    <t>METSIA</t>
  </si>
  <si>
    <t>HEGUISSA</t>
  </si>
  <si>
    <t>AHINITSE</t>
  </si>
  <si>
    <t>AHUGATU</t>
  </si>
  <si>
    <t>TSAGIGU</t>
  </si>
  <si>
    <t>IGUATA</t>
  </si>
  <si>
    <t>MAITSA</t>
  </si>
  <si>
    <t>ATTIE</t>
  </si>
  <si>
    <t>LAIANY</t>
  </si>
  <si>
    <t>NUKALU</t>
  </si>
  <si>
    <t>AHUNA</t>
  </si>
  <si>
    <t>TAILENA</t>
  </si>
  <si>
    <t>RN EUMISSA KALAPALO</t>
  </si>
  <si>
    <t>MAGIKA</t>
  </si>
  <si>
    <t>TANGUAKA</t>
  </si>
  <si>
    <t>RN HATSINHAKU</t>
  </si>
  <si>
    <t>SAIDÃO</t>
  </si>
  <si>
    <t>KARU</t>
  </si>
  <si>
    <t>ABRIL/24</t>
  </si>
  <si>
    <t>ENF THALYNE, T.E LEONARDO</t>
  </si>
  <si>
    <t>KAIWETI</t>
  </si>
  <si>
    <t>MAIO/23</t>
  </si>
  <si>
    <t>YAWITA</t>
  </si>
  <si>
    <t>HYU LAYA</t>
  </si>
  <si>
    <t>KAYULALU</t>
  </si>
  <si>
    <t>YAKNNUH</t>
  </si>
  <si>
    <t>YUMALU</t>
  </si>
  <si>
    <t>JUN/23</t>
  </si>
  <si>
    <t>AWINAKU</t>
  </si>
  <si>
    <t>BASE JACARÉ</t>
  </si>
  <si>
    <t>ENF AMANDA,T.E LEONARDO</t>
  </si>
  <si>
    <t>AMURUI</t>
  </si>
  <si>
    <t>ENF AMANDA, T.E LEONARDO</t>
  </si>
  <si>
    <t xml:space="preserve">   </t>
  </si>
  <si>
    <t>Local de Moradia*                             (NOME DA ALDEIA ou CIDADE)</t>
  </si>
  <si>
    <t>RG gestante</t>
  </si>
  <si>
    <t>Data do ABORTO (dd/mm/aaaa)</t>
  </si>
  <si>
    <t>DUM</t>
  </si>
  <si>
    <t>Semana Gestacional*</t>
  </si>
  <si>
    <t>Responsável pela Assistência</t>
  </si>
  <si>
    <t>observação</t>
  </si>
  <si>
    <t xml:space="preserve">NAFUKUA </t>
  </si>
  <si>
    <t>RAIKALO</t>
  </si>
  <si>
    <t>12 + 3</t>
  </si>
  <si>
    <t xml:space="preserve">AIS NAFUKUA </t>
  </si>
  <si>
    <t>NÃO HOUVE INTERCORRENCIA</t>
  </si>
  <si>
    <t>Número da Declaração de óbito</t>
  </si>
  <si>
    <t>Sexo (F/M)</t>
  </si>
  <si>
    <t>RG Mãe</t>
  </si>
  <si>
    <t>RG  Pai</t>
  </si>
  <si>
    <t>Data do Óbito (dd/mm/aaaa)</t>
  </si>
  <si>
    <t>Local do Óbito                      (NOME DA ALDEI ou CIDADE)</t>
  </si>
  <si>
    <t>Causa do Óbito</t>
  </si>
  <si>
    <t>CID 10</t>
  </si>
  <si>
    <t xml:space="preserve">Semana Gestacional </t>
  </si>
  <si>
    <t>Peso ao nascer (g)</t>
  </si>
  <si>
    <t>Investigação do Óbito            (S) Sim      (N) Não</t>
  </si>
  <si>
    <t>Responsável pela Assistência ao Parto</t>
  </si>
  <si>
    <t>Sexo (M/F)</t>
  </si>
  <si>
    <t>DATA DE NASCIMENTO (dd/mm/aaaa)</t>
  </si>
  <si>
    <t>Local do Óbito               (Nome da Aldeia ou Cidade)</t>
  </si>
  <si>
    <t>CAUSA DO ÓBITO</t>
  </si>
  <si>
    <t>CID 11</t>
  </si>
  <si>
    <t>Com Assistência Médica          (S) Sim (N) Não</t>
  </si>
  <si>
    <t>Autópsia           (S) Sim (N) Não</t>
  </si>
  <si>
    <t>Investigação óbito               (S) Sim (N) Não</t>
  </si>
  <si>
    <t>Número da Declaração de Óbito (DO)</t>
  </si>
  <si>
    <t>Nome do Profissional Responsavel Pela Assistência ao Óbito</t>
  </si>
  <si>
    <t xml:space="preserve">YUPI AUNUKUHA </t>
  </si>
  <si>
    <t>AFUALO</t>
  </si>
  <si>
    <t>ATANGI</t>
  </si>
  <si>
    <t>CANARANA</t>
  </si>
  <si>
    <t>FIBROSE PULMONAR/INSUF RESP</t>
  </si>
  <si>
    <t>J84.1</t>
  </si>
  <si>
    <t xml:space="preserve"> N</t>
  </si>
  <si>
    <t>CRM CARLOS ALBERTO RODRIGUES</t>
  </si>
  <si>
    <t>Meses</t>
  </si>
  <si>
    <t>Local de Moradia* (Nome da Aldeia ou Cidade)</t>
  </si>
  <si>
    <t>Data de Nascimento (dd/mm/aaaa)</t>
  </si>
  <si>
    <t>Data do Diagnóstico (dd/mm/aaaa)</t>
  </si>
  <si>
    <t xml:space="preserve"> Total de Consulta Médica ( número)</t>
  </si>
  <si>
    <t>Total de Consulta Enfermagem (número)</t>
  </si>
  <si>
    <t>Hemograma Completo      (S) Sim (N) Não</t>
  </si>
  <si>
    <t>Glicemia Jejum                  (S) Sim (N) Não</t>
  </si>
  <si>
    <t>Hemoglobina Glicada      (S) Sim (N) Não</t>
  </si>
  <si>
    <t>Colesterol total e Frações  (S) Sim (N) Não</t>
  </si>
  <si>
    <t>Sódio (S) Sim (N) Não</t>
  </si>
  <si>
    <t>Potássio (S) Sim (N)Não</t>
  </si>
  <si>
    <t>Uréia (S) Sim (N)Não</t>
  </si>
  <si>
    <t>Creatinina                             (S) Sim (N)Não</t>
  </si>
  <si>
    <t>CK (S) Sim (N)Não</t>
  </si>
  <si>
    <t>Gama GT (S) Sim (N)Não</t>
  </si>
  <si>
    <t>TGO e TGP                                         (S) Sim (N)Não</t>
  </si>
  <si>
    <t>Urina I (S) Sim (N)Não</t>
  </si>
  <si>
    <t>Urina 24h (proteinúria) (S) Sim (N)Não</t>
  </si>
  <si>
    <t>Fundo de Olho                                    (S) Sim (N)Não</t>
  </si>
  <si>
    <t>*Registrar consultas direcionadas ao acompanhamento do diabético.</t>
  </si>
  <si>
    <t>KALUANÃ</t>
  </si>
  <si>
    <t>EXAME DE 31/10/2022. AJUSTO DOSE DE HIPOGLICEMIANTES. (MÉDICA JÉSSICA IACI)</t>
  </si>
  <si>
    <t>KUIANATUALU</t>
  </si>
  <si>
    <t>EXAME DE 23/11/22. AJUST DOSE DE HIPOGLICEMIANTES. (MÉDICA JÉSSICA IACI)</t>
  </si>
  <si>
    <t>YAKULU</t>
  </si>
  <si>
    <t>EXAME DE 15/07/22. MANTIDA PRESCRIÇÃO.</t>
  </si>
  <si>
    <t>KAMAYURA (IPAVU)</t>
  </si>
  <si>
    <t>SOLICITO LAB DE ROTINA. MANTIDA PRESCRIÇÃO. (MED JESSICA IACI)</t>
  </si>
  <si>
    <t>Data do diagnostico</t>
  </si>
  <si>
    <t xml:space="preserve"> Total de Consulta Médica( número)</t>
  </si>
  <si>
    <t>Total de Consulta Enfermagem(número)</t>
  </si>
  <si>
    <t>Hemograma Completo (S) Sim (N) Não</t>
  </si>
  <si>
    <t>Glicemia Jejum   (S) Sim (N) Não</t>
  </si>
  <si>
    <t>Colesterol Total e Frações (S) Sim (N) Não</t>
  </si>
  <si>
    <t>Potássio (S) Sim (N) Não</t>
  </si>
  <si>
    <t>Uréia (S) Sim (N) Não</t>
  </si>
  <si>
    <t>Creatinina (S) Sim (N) Não</t>
  </si>
  <si>
    <t>Urina I (S) Sim (N) Não</t>
  </si>
  <si>
    <t>Raio X Tórax (S) Sim (N) Não</t>
  </si>
  <si>
    <t>ECG (S) Sim (N) Não</t>
  </si>
  <si>
    <t>AWAYURUPA</t>
  </si>
  <si>
    <t>SOLICITADO EXAME LAB DE ROTINA (MÉDICA JÉSSICA IACI)</t>
  </si>
  <si>
    <t>YANAMA</t>
  </si>
  <si>
    <t>LINFOMA DE HODKIN COM STATUS ONCOLOGICO DE REMISSAO COMPLETA. SOLICITADO EXAMES DE ROTINA (MÉDICA JÉSSICA IACI)</t>
  </si>
  <si>
    <t>KUMAHIN</t>
  </si>
  <si>
    <t>SOLICITO EXAME DE ROTINA (MÉDICA JÉSSICA IACI)</t>
  </si>
  <si>
    <t>ARIWÁ</t>
  </si>
  <si>
    <t>KAMALUVÉ</t>
  </si>
  <si>
    <t>GLICADA 10,3%. AJUSTO MEDICAÇÃO (MÉDICA JÉSSICA IACI)</t>
  </si>
  <si>
    <t xml:space="preserve">KUIANATUALU </t>
  </si>
  <si>
    <t>GLICADA 11,2%. AJUSTO MEDICAÇÃO. (MÉDICA JÉSSICA IACI)</t>
  </si>
  <si>
    <t>HIULAYA</t>
  </si>
  <si>
    <t>MAPULU</t>
  </si>
  <si>
    <t>SUSPENDEU LOSARTANA HÁ MESES. PA NO ALVO. SUSPENDO ANTIHIPERTENSIVO.</t>
  </si>
  <si>
    <t>RAUL</t>
  </si>
  <si>
    <t>MANTIDA PRESCRIÇÃO (MEDICA JÉSSICA IACI)</t>
  </si>
  <si>
    <t>TSIMAIO</t>
  </si>
  <si>
    <t>SOLICITO EXAME DE ROTINA. MANTIDA PRESCRIÇÃO. (JÉSSICA IACI)</t>
  </si>
  <si>
    <t>AIRA ALAN</t>
  </si>
  <si>
    <t>PA NO ALVO, MANTIDA PRESCRÇÃO (MED JÉSSICA IACI)</t>
  </si>
  <si>
    <t>MAYARU</t>
  </si>
  <si>
    <t>SUSPENSO USO DE LOSARTANA POR CONTA PROPRIA, PA NO ALVO. INICIADO PROPRANOLOL PARA ENXAQUECA COM AURA.</t>
  </si>
  <si>
    <t xml:space="preserve">IYATY </t>
  </si>
  <si>
    <t>MANTIDA PRESCRIÇÃO, SOLICITO LAB DE ROTINA. (MÉDICA JESSICA IACI)</t>
  </si>
  <si>
    <t xml:space="preserve">KOTOK MEYUATA </t>
  </si>
  <si>
    <t>PRESCREVO OMEPRAZOL, MANTIDA DEMAIS PRESCRIÇÕES. CONTATO COM CASAI PARA RETORNO À REFERENCIA EM BRASILIA (MÉDICA IACI)</t>
  </si>
  <si>
    <t>MAPUTA JOAO</t>
  </si>
  <si>
    <t>TRATAMENTO PARA INFECÇÃO NO PÉ (MEDICA JESSICA IACI)</t>
  </si>
  <si>
    <t>LEISHMANIOSE</t>
  </si>
  <si>
    <t>Local de Moradia*(Nome da Aldeia ou Cidade)</t>
  </si>
  <si>
    <t>Data do Atendimento (dd/mm/aaaa)</t>
  </si>
  <si>
    <t xml:space="preserve">Localização da lesão             1- membros               2- Tronco                    3- palato                    4- nariz                       5- outro  </t>
  </si>
  <si>
    <t>Data dos primeiros sintomas (dd/mm/aaaa)</t>
  </si>
  <si>
    <t>Diagnostico Laboratorial  (S) Sim (N) Não</t>
  </si>
  <si>
    <t>Data do Início do Tratamento (dd/mm/aaaa)</t>
  </si>
  <si>
    <t>Data do Término do Tratamento (dd/mm/aaaa)</t>
  </si>
  <si>
    <t>Data de encerramento do caso (dd/mm/aaaa)</t>
  </si>
  <si>
    <t>Nome do Responsável pelo Primeiro Atendimento</t>
  </si>
  <si>
    <t>DENGUE</t>
  </si>
  <si>
    <t>Data do Início dos Sintomas (dd/mm/aaaa)</t>
  </si>
  <si>
    <t>Diagnóstico Clinico (C) Laboratorial (L)</t>
  </si>
  <si>
    <t>Número  da Notificação (SINAN)</t>
  </si>
  <si>
    <t>Data do Encerramento do caso (dd/mm/aaaa)</t>
  </si>
  <si>
    <t>Forma Clínica         1- Clássica        2- Hemorrágica</t>
  </si>
  <si>
    <t>Caso Autóctone      (S) Sim (N) Não</t>
  </si>
  <si>
    <t>MALÁRIA</t>
  </si>
  <si>
    <t>Data do 1º Atendimento (dd/mm/aaaa)</t>
  </si>
  <si>
    <t xml:space="preserve">Procedência   1- Autóctone    2- Viagem &gt; 15 dias </t>
  </si>
  <si>
    <t>Resultado da Microscopia em Campo                    1- negativo                     2- positivo</t>
  </si>
  <si>
    <t>Resultado da Microscopia na Referência                    1- negativo                     2- positivo</t>
  </si>
  <si>
    <t>Tipo de malária 1- Vivax           2- Falciparum</t>
  </si>
  <si>
    <t>Local de Tratamento                1- Em área            2- Na Referência</t>
  </si>
  <si>
    <t>Nome do Responsável* pelo Primeiro Atendimento</t>
  </si>
  <si>
    <t>TUBERCULOSE</t>
  </si>
  <si>
    <t>BK                                    P- Positivo              N - Negativo NR - Não Realizado</t>
  </si>
  <si>
    <t xml:space="preserve">Raio X       (N) Normal (A) Alterado (N/re) Não realizado OP(Outra patologia </t>
  </si>
  <si>
    <t>PPD</t>
  </si>
  <si>
    <t>Data do PPD</t>
  </si>
  <si>
    <t>Forma Clínica (Tipo de TB)</t>
  </si>
  <si>
    <t>Data do Diagnótico (dd/mm/aaaa)</t>
  </si>
  <si>
    <t>Situação do encerramento do caso</t>
  </si>
  <si>
    <t>Número de contactantes registrados</t>
  </si>
  <si>
    <t>Número de contactantes investigados</t>
  </si>
  <si>
    <t>Data de Encerramento do Caso (dd/mm/aaaa)</t>
  </si>
  <si>
    <t>Cura</t>
  </si>
  <si>
    <t>Abandono</t>
  </si>
  <si>
    <t>Mudança de Diagnóstico</t>
  </si>
  <si>
    <t>Obito por TB</t>
  </si>
  <si>
    <t>Obito Por outras causas</t>
  </si>
  <si>
    <t>Transferencia</t>
  </si>
  <si>
    <t>TB multirresistente</t>
  </si>
  <si>
    <t>ILTB</t>
  </si>
  <si>
    <t>Peso Inicial</t>
  </si>
  <si>
    <t>BCG             S (sim)          N (não)     N/re (não realizado</t>
  </si>
  <si>
    <t xml:space="preserve">Tratamento Prévio          TB                       ILTB           N (não)         </t>
  </si>
  <si>
    <t>Data</t>
  </si>
  <si>
    <t>BK   1                                 P- Positivo                  N - Negativo N/re - Não Realizado</t>
  </si>
  <si>
    <t>BK   2                                 P- Positivo                  N - Negativo N/re - Não Realizado</t>
  </si>
  <si>
    <t xml:space="preserve">Raio X               (N) Normal      (A) Alterado (N/re) Não realizado </t>
  </si>
  <si>
    <t>PPD 1</t>
  </si>
  <si>
    <t xml:space="preserve"> Data           PPD 1 </t>
  </si>
  <si>
    <t>PPD 2</t>
  </si>
  <si>
    <t>Data            PPD 2</t>
  </si>
  <si>
    <t>Indicação de tratamento          S (sim)              N (não)</t>
  </si>
  <si>
    <t>Esquema                             I (Isoniazida)                 O (Outro Med)</t>
  </si>
  <si>
    <t>Data de Inicio</t>
  </si>
  <si>
    <t xml:space="preserve">Situação do Encerramento     1- Completou Tratamento          2- Abandono        3- Suspenso Toxicidade           4-  TB ativa           5- Óbito </t>
  </si>
  <si>
    <t>Data do encerramento</t>
  </si>
  <si>
    <t>Peso do Encerramento</t>
  </si>
  <si>
    <t>Dose</t>
  </si>
  <si>
    <r>
      <t xml:space="preserve">Peso de acompanhamento mensal                               </t>
    </r>
    <r>
      <rPr>
        <i/>
        <sz val="8"/>
        <color theme="1"/>
        <rFont val="Times New Roman"/>
        <family val="1"/>
      </rPr>
      <t>Clicar botão direito do mouse(Editar comentário) Insira a data e o peso. Clique fora pra sair do comentário.</t>
    </r>
  </si>
  <si>
    <t>Nome e função do Profissional Responsável pelo acompanhamento *</t>
  </si>
  <si>
    <t>Observação/ Pendência</t>
  </si>
  <si>
    <t>RG caso índice*</t>
  </si>
  <si>
    <t>SR - Sindrome Respiratório</t>
  </si>
  <si>
    <t xml:space="preserve">DATA DO RESULTADO </t>
  </si>
  <si>
    <t>RESULTADO 1° AMOSTRA BK</t>
  </si>
  <si>
    <t xml:space="preserve"> RESULTADO 2° AMOSTRA BK</t>
  </si>
  <si>
    <t>VARICELA</t>
  </si>
  <si>
    <t>Data dos Primeiros Sintomas (dd/mm/aaaa)</t>
  </si>
  <si>
    <t>Vacina Contra Varicela             (S) Sim  (N) Não</t>
  </si>
  <si>
    <t>Data da Vacina (dd/mm/aaaa)</t>
  </si>
  <si>
    <t>Critério de Confirmação       1 - Clinico            2 - Laboratorial</t>
  </si>
  <si>
    <t>ISABELLA WAYUNNI</t>
  </si>
  <si>
    <t>NÃO</t>
  </si>
  <si>
    <t>HEPATITES</t>
  </si>
  <si>
    <t>Data do Início dos sintomas (dd/mm/aaaa)</t>
  </si>
  <si>
    <t xml:space="preserve">Diagnóstico                                    (C)Clinico                                 (CE) Clínico - Epidemiológico             (L)Laboratorial </t>
  </si>
  <si>
    <t>Data do Encerramento do caso                   (dd/mm/aaaa)</t>
  </si>
  <si>
    <t>Nome* do Profissional Responsavel pelo Primeiro Atendimento</t>
  </si>
  <si>
    <t>HANSENÍASE</t>
  </si>
  <si>
    <t xml:space="preserve">Diagnóstico                         (C)Clinico                               (CE) Clínico- Epidemiológico  (L)Laboratorial </t>
  </si>
  <si>
    <t>ACIDENTE COM ANIMAIS PEÇONHENTOS</t>
  </si>
  <si>
    <t>Data do Acidente  (dd/mm/aaaa)</t>
  </si>
  <si>
    <t>Tipo de Acidente  1-Abelha 2-Serpente 3- Aranha 4-Escorpião 5-Outros 6-Ignorado</t>
  </si>
  <si>
    <t>Local  da picada                   1 - Cabeça 2 - Braço                                          3- Ante-Braço 4-Mão               5 -Dedo da mão 6-Tronco 7-Coxa 8-Perna 9-Pé                 10 -Dedo do pé                        11-Ignorado</t>
  </si>
  <si>
    <t>Manifestações Locais                     1-Dor 2-Edema 3-Equimose       4-Necrose       5-Outros</t>
  </si>
  <si>
    <t>Classificação do Caso  1-Leve  2-Moderado           3-Grave  4-Ignorado</t>
  </si>
  <si>
    <t>SOROTERAPIA                                                     1-SIM                                                              2-NÃO</t>
  </si>
  <si>
    <t>SINAN</t>
  </si>
  <si>
    <t>Nome* do Responsável pelo Primeiro Atendimento</t>
  </si>
  <si>
    <t>IST</t>
  </si>
  <si>
    <t>Sexo* (M/F)</t>
  </si>
  <si>
    <t>Local do Atencimento</t>
  </si>
  <si>
    <t>1 - Caso Índice                    2- Parceiro Sintomático       3 - Parceiro Assintomático</t>
  </si>
  <si>
    <t xml:space="preserve">Diagnóstico                        1- Úlcera genital             2 - Corrimento cervical                      3 - Corrimento uretral               4 - DIP                                  5 - Outro-descrever no campo "Observação"        6 - Parceiro Assintomático    </t>
  </si>
  <si>
    <t>(1)Caso Novo (2)Recorrência</t>
  </si>
  <si>
    <t>Data de Início dos Sintomas (dd/mm/aaaa)</t>
  </si>
  <si>
    <t>Tratamento               1- com sucesso       2- interrompido         3- falha</t>
  </si>
  <si>
    <t xml:space="preserve">RG*        Parceiro 1  </t>
  </si>
  <si>
    <t>Tratamento parceiro 1        (S) Sim         (N) Não</t>
  </si>
  <si>
    <t>RG*              parceiro 2</t>
  </si>
  <si>
    <t>Tratamento parceiro  2      (S) Sim         (N) Não</t>
  </si>
  <si>
    <t>LOCAL:     Nome (CASAI - Aldeia - Polo)</t>
  </si>
  <si>
    <t>ASSUNTO</t>
  </si>
  <si>
    <r>
      <t xml:space="preserve">Profissionais envolvidos   </t>
    </r>
    <r>
      <rPr>
        <b/>
        <sz val="10"/>
        <color rgb="FFFF0000"/>
        <rFont val="Arial"/>
        <family val="2"/>
      </rPr>
      <t>*</t>
    </r>
    <r>
      <rPr>
        <b/>
        <sz val="10"/>
        <rFont val="Arial"/>
        <family val="2"/>
      </rPr>
      <t>( Nome e Função)</t>
    </r>
    <r>
      <rPr>
        <b/>
        <sz val="10"/>
        <color rgb="FFFF0000"/>
        <rFont val="Arial"/>
        <family val="2"/>
      </rPr>
      <t>*</t>
    </r>
  </si>
  <si>
    <t>Número de Participantes</t>
  </si>
  <si>
    <t>menor de 10 anos</t>
  </si>
  <si>
    <t>11 a 19 anos</t>
  </si>
  <si>
    <t>maior de 20 anos</t>
  </si>
  <si>
    <t>Ignorado</t>
  </si>
  <si>
    <t>Total</t>
  </si>
  <si>
    <t xml:space="preserve">M </t>
  </si>
  <si>
    <t xml:space="preserve">AÇÕES DE SAÚDE MENTAL REALIZADAS PELAS EMSI </t>
  </si>
  <si>
    <t xml:space="preserve"> POLO BASE</t>
  </si>
  <si>
    <t>Promoção e Prevenção</t>
  </si>
  <si>
    <r>
      <t>Ações Assistenciais</t>
    </r>
    <r>
      <rPr>
        <b/>
        <sz val="11"/>
        <color indexed="10"/>
        <rFont val="Calibri"/>
        <family val="2"/>
      </rPr>
      <t xml:space="preserve"> </t>
    </r>
  </si>
  <si>
    <r>
      <t xml:space="preserve">Nº de ações coletivas de promoção e prevenção em saúde mental </t>
    </r>
    <r>
      <rPr>
        <sz val="10"/>
        <rFont val="Calibri"/>
        <family val="2"/>
      </rPr>
      <t xml:space="preserve">(Grupos de Saúde Mental e Bem Viver, Ações Participativas/ Intersetoriais e/ou Educação em Saúde) </t>
    </r>
    <r>
      <rPr>
        <b/>
        <sz val="11"/>
        <rFont val="Calibri"/>
        <family val="2"/>
      </rPr>
      <t>realizadas pela EMSI</t>
    </r>
  </si>
  <si>
    <t xml:space="preserve">Nº de  atendimentos individuais/ familiares realizados pelas EMSI para pessoas com agravos relacionados à saúde mental </t>
  </si>
  <si>
    <t>POLO BASE DIAUARUM</t>
  </si>
  <si>
    <t>PONTO DE APOIO SOBRADINHO</t>
  </si>
  <si>
    <t>POLO BASE WAWI</t>
  </si>
  <si>
    <t>POLO BASE LEONARDO</t>
  </si>
  <si>
    <t>PONTO DE APOIO KULUENE</t>
  </si>
  <si>
    <t>PONTO DE APOIO KUIKURO</t>
  </si>
  <si>
    <t>PONTO DE APOIO KURISEVO</t>
  </si>
  <si>
    <t>POLO BASE PAVURU</t>
  </si>
  <si>
    <t>CASAI CANARANA</t>
  </si>
  <si>
    <t>CASAI SINOP</t>
  </si>
  <si>
    <t>CASAI QUERÊNCIA</t>
  </si>
  <si>
    <t>CASAI GAÚCHA DO NORTE</t>
  </si>
  <si>
    <t>Total DSEI XINGU</t>
  </si>
  <si>
    <t>PESSOAS QUE FAZEM USO DE MEDICAÇÃO PSICOTRÓPICA</t>
  </si>
  <si>
    <t>Nº</t>
  </si>
  <si>
    <t xml:space="preserve"> Nome Completo</t>
  </si>
  <si>
    <t xml:space="preserve">Sexo   </t>
  </si>
  <si>
    <t>RG de Área</t>
  </si>
  <si>
    <t>Data Nascimento</t>
  </si>
  <si>
    <t xml:space="preserve">Aldeia  </t>
  </si>
  <si>
    <r>
      <t xml:space="preserve">Estado civil </t>
    </r>
    <r>
      <rPr>
        <sz val="10"/>
        <color theme="0"/>
        <rFont val="Calibri"/>
        <family val="2"/>
      </rPr>
      <t>(Solteiro, Casado, Separado, Viúvo, Amasiado)</t>
    </r>
  </si>
  <si>
    <r>
      <t xml:space="preserve">Usa psicotrópicos desde quando? </t>
    </r>
    <r>
      <rPr>
        <sz val="10"/>
        <color theme="0"/>
        <rFont val="Calibri"/>
        <family val="2"/>
      </rPr>
      <t>(data de início do uso de psicotrópicos)</t>
    </r>
  </si>
  <si>
    <r>
      <t xml:space="preserve">O usuário já teve consulta com psiquiatra ou neurologista?   </t>
    </r>
    <r>
      <rPr>
        <sz val="10"/>
        <color theme="0"/>
        <rFont val="Calibri"/>
        <family val="2"/>
      </rPr>
      <t>(Se sim, inserir a data da última consulta com psiquiatra ou neurologista. Se não, preencher "não")</t>
    </r>
  </si>
  <si>
    <r>
      <t xml:space="preserve">Há hipótese diagnóstica elaborada? </t>
    </r>
    <r>
      <rPr>
        <sz val="10"/>
        <color theme="0"/>
        <rFont val="Calibri"/>
        <family val="2"/>
      </rPr>
      <t xml:space="preserve"> (Se sim, insira a categoria CID: nome e código. Se não, preencher "não")</t>
    </r>
  </si>
  <si>
    <t>Medicamentos (Principio Ativo)/ Posologia</t>
  </si>
  <si>
    <r>
      <t xml:space="preserve">Foi estabelecido um profissional de referência da EMSI para este usuário? </t>
    </r>
    <r>
      <rPr>
        <sz val="10"/>
        <color theme="0"/>
        <rFont val="Calibri"/>
        <family val="2"/>
      </rPr>
      <t>(ver conceito no box ao lado. Preencher com "sim/não")</t>
    </r>
  </si>
  <si>
    <r>
      <t xml:space="preserve">Nº atendimentos realizados pela EMSI </t>
    </r>
    <r>
      <rPr>
        <sz val="9"/>
        <color theme="0"/>
        <rFont val="Calibri"/>
        <family val="2"/>
      </rPr>
      <t>(I</t>
    </r>
    <r>
      <rPr>
        <sz val="10"/>
        <color theme="0"/>
        <rFont val="Calibri"/>
        <family val="2"/>
      </rPr>
      <t>ncluindo as visitas domiciliares)</t>
    </r>
  </si>
  <si>
    <r>
      <t xml:space="preserve">Faz algum tipo de acompanhamento com cuidador indígena? </t>
    </r>
    <r>
      <rPr>
        <sz val="10"/>
        <color theme="0"/>
        <rFont val="Calibri"/>
        <family val="2"/>
      </rPr>
      <t>(sim/não)</t>
    </r>
  </si>
  <si>
    <t>N° de articulações com cuidadores tradicionais</t>
  </si>
  <si>
    <r>
      <t xml:space="preserve">O usuário teve acesso a algum serviço de referência em atenção psicossocial? </t>
    </r>
    <r>
      <rPr>
        <sz val="10"/>
        <color theme="0"/>
        <rFont val="Calibri"/>
        <family val="2"/>
      </rPr>
      <t>(Se sim, inserir uma das três opções: "CAPS", "Hospital Geral", "Outros". Se não, inserir "não")</t>
    </r>
    <r>
      <rPr>
        <b/>
        <sz val="11"/>
        <color theme="0"/>
        <rFont val="Calibri"/>
        <family val="2"/>
      </rPr>
      <t xml:space="preserve">                                                          </t>
    </r>
  </si>
  <si>
    <r>
      <t xml:space="preserve">Usuário já passou por internação psiquiátrica? </t>
    </r>
    <r>
      <rPr>
        <sz val="10"/>
        <color theme="0"/>
        <rFont val="Calibri"/>
        <family val="2"/>
      </rPr>
      <t>(sim/não)</t>
    </r>
  </si>
  <si>
    <r>
      <t xml:space="preserve">O usuário consumiu bebida alcoólica nos últimos 15 dias? </t>
    </r>
    <r>
      <rPr>
        <sz val="10"/>
        <color theme="0"/>
        <rFont val="Calibri"/>
        <family val="2"/>
      </rPr>
      <t>(sim/não)</t>
    </r>
  </si>
  <si>
    <r>
      <t xml:space="preserve">Situação atual do caso:                      </t>
    </r>
    <r>
      <rPr>
        <sz val="10"/>
        <color theme="0"/>
        <rFont val="Calibri"/>
        <family val="2"/>
      </rPr>
      <t>* Em tratamento                                        * Alta *Perda de Seguimento                                   * Interrupção por conta própria  * Óbito</t>
    </r>
  </si>
  <si>
    <r>
      <t xml:space="preserve">Profissional de Referência para usuários de medicação psicotrópicas: </t>
    </r>
    <r>
      <rPr>
        <sz val="11"/>
        <color theme="1"/>
        <rFont val="Calibri"/>
        <family val="2"/>
        <scheme val="minor"/>
      </rPr>
      <t>é o profissional da EMSI designado para acompanhar o uso adequado da medicação de maneira individualizada. Este profissional procura estabelecer estratégias para evitar o uso indevido desta medicação, promover orientações sobre a utilização do medicamento e procurar assegurar a consulta de reavaliação do usuário junto aos médicos especialistas. É escolhido preferencialmente aquele profissional com quem o usuário estabeleceu um bom vínculo.</t>
    </r>
  </si>
  <si>
    <t>IACUMA CARSELI</t>
  </si>
  <si>
    <t>CASADO</t>
  </si>
  <si>
    <t>SIM</t>
  </si>
  <si>
    <t>TRANSTORNO DEPRESSIVO</t>
  </si>
  <si>
    <t>FLUOXETINA 20MG 1-0-1, QUETIAPINA 25MG 1-0-0, SULPIRIDA 50MG 1-0-0, CINARIZINA 75MG 1-0-1</t>
  </si>
  <si>
    <t>EM TRATAMENTO</t>
  </si>
  <si>
    <t>MÉDICA JÉSSICA IACI</t>
  </si>
  <si>
    <t>MATULA KAMAYURA</t>
  </si>
  <si>
    <t>INSONIA</t>
  </si>
  <si>
    <t>AMITRIPTILINA 25MG 0-0-1</t>
  </si>
  <si>
    <t>KATEWAY CELIA KAMAYURA</t>
  </si>
  <si>
    <t>ENCEFALITE HERPETICA</t>
  </si>
  <si>
    <t>CARBAMAZEPINA 400MG 1-0-1</t>
  </si>
  <si>
    <t>TRAUIN KAMAYURA</t>
  </si>
  <si>
    <t>ACIDO VALPROICO 500MG 0-0-1, TOPIRAMATO 50MG 0-0-1</t>
  </si>
  <si>
    <t>HOMICÍDIOS</t>
  </si>
  <si>
    <t>Data da Ocorrência</t>
  </si>
  <si>
    <t xml:space="preserve">Nome Completo </t>
  </si>
  <si>
    <t>SEXO (M/F)</t>
  </si>
  <si>
    <t>DATA DE NASCIMENTO</t>
  </si>
  <si>
    <t>Aldeia</t>
  </si>
  <si>
    <r>
      <t xml:space="preserve">Estado civil </t>
    </r>
    <r>
      <rPr>
        <sz val="9"/>
        <color theme="0"/>
        <rFont val="Calibri"/>
        <family val="2"/>
      </rPr>
      <t>(Solteiro, Casado, Separado, Viúvo, Amasiado)</t>
    </r>
  </si>
  <si>
    <r>
      <t xml:space="preserve">Local do óbito </t>
    </r>
    <r>
      <rPr>
        <sz val="10"/>
        <color theme="0"/>
        <rFont val="Calibri"/>
        <family val="2"/>
      </rPr>
      <t xml:space="preserve">(residência; via pública) </t>
    </r>
  </si>
  <si>
    <t xml:space="preserve">                                                                                                                                                                                                                       TENTATIVAS    DE    SUICÍDIO</t>
  </si>
  <si>
    <t xml:space="preserve">Método </t>
  </si>
  <si>
    <r>
      <t xml:space="preserve">Faz uso frequente de bebidas alcóolicas? </t>
    </r>
    <r>
      <rPr>
        <sz val="10"/>
        <color theme="0"/>
        <rFont val="Calibri"/>
        <family val="2"/>
      </rPr>
      <t>(sim/não)</t>
    </r>
  </si>
  <si>
    <t>Número de tentativas anteriores</t>
  </si>
  <si>
    <r>
      <t>Outras pessoas com vínculo próximo já se suicidaram?</t>
    </r>
    <r>
      <rPr>
        <sz val="10"/>
        <color theme="0"/>
        <rFont val="Calibri"/>
        <family val="2"/>
      </rPr>
      <t xml:space="preserve"> (Pais, irmãos, parentes, amigos, etc. Marcar: "sim/não")</t>
    </r>
  </si>
  <si>
    <r>
      <t xml:space="preserve">Nº de atendimentos </t>
    </r>
    <r>
      <rPr>
        <sz val="10"/>
        <color theme="0"/>
        <rFont val="Calibri"/>
        <family val="2"/>
      </rPr>
      <t xml:space="preserve">(incluindo visitas domiciliares) </t>
    </r>
    <r>
      <rPr>
        <b/>
        <sz val="11"/>
        <color theme="0"/>
        <rFont val="Calibri"/>
        <family val="2"/>
      </rPr>
      <t xml:space="preserve"> realizados pela EMSI e/ou profissional de SM para acompanhamento da pessoa em risco de suicídio</t>
    </r>
  </si>
  <si>
    <t>Data do último atendimento pela EMSI ou Equipe de Saúde Mental</t>
  </si>
  <si>
    <t>Nº do SINAN</t>
  </si>
  <si>
    <t>ÓBITOS    POR    SUICÍDIO</t>
  </si>
  <si>
    <r>
      <t xml:space="preserve">Fazia uso frequente de bebidas alcóolicas? </t>
    </r>
    <r>
      <rPr>
        <sz val="10"/>
        <color theme="0"/>
        <rFont val="Calibri"/>
        <family val="2"/>
      </rPr>
      <t>(sim/não)</t>
    </r>
  </si>
  <si>
    <r>
      <t xml:space="preserve"> Nº de atendimentos</t>
    </r>
    <r>
      <rPr>
        <sz val="11"/>
        <color theme="0"/>
        <rFont val="Calibri"/>
        <family val="2"/>
      </rPr>
      <t xml:space="preserve"> (incluindo visitas domiciliares)</t>
    </r>
    <r>
      <rPr>
        <b/>
        <sz val="11"/>
        <color theme="0"/>
        <rFont val="Calibri"/>
        <family val="2"/>
      </rPr>
      <t xml:space="preserve">  realizados pela EMSI e/ou profissional de SM  para acompanhamento de familiares e pessoas próximas em risco de suicídio</t>
    </r>
  </si>
  <si>
    <t xml:space="preserve">Data do último atendimento pela EMSI ou Equipe de Saúde Mental </t>
  </si>
  <si>
    <t xml:space="preserve">                                                                                                                                                                                                           SITUAÇÕES    DE    VIOLÊNCIA    NÃO    LETAIS</t>
  </si>
  <si>
    <r>
      <t xml:space="preserve">Principal tipo de agressão sofrida </t>
    </r>
    <r>
      <rPr>
        <sz val="10"/>
        <color theme="0"/>
        <rFont val="Calibri"/>
        <family val="2"/>
      </rPr>
      <t>(Violência Psicológica; Física ou Sexual)</t>
    </r>
  </si>
  <si>
    <r>
      <t xml:space="preserve">Local da agressão </t>
    </r>
    <r>
      <rPr>
        <sz val="10"/>
        <color theme="0"/>
        <rFont val="Calibri"/>
        <family val="2"/>
      </rPr>
      <t xml:space="preserve">(residência; via pública) </t>
    </r>
  </si>
  <si>
    <r>
      <t xml:space="preserve">Tipo de relação com o agressor </t>
    </r>
    <r>
      <rPr>
        <sz val="10"/>
        <color theme="0"/>
        <rFont val="Calibri"/>
        <family val="2"/>
      </rPr>
      <t>(pai, marido, esposa, vizinho, amigo, desconhecido, etc)</t>
    </r>
  </si>
  <si>
    <r>
      <t xml:space="preserve">Uso de bebida alcoolica por parte do agressor no momento da agressão? </t>
    </r>
    <r>
      <rPr>
        <sz val="10"/>
        <color theme="0"/>
        <rFont val="Calibri"/>
        <family val="2"/>
      </rPr>
      <t>(sim/não)</t>
    </r>
  </si>
  <si>
    <r>
      <t xml:space="preserve">Situação Recorrente? </t>
    </r>
    <r>
      <rPr>
        <sz val="10"/>
        <color theme="0"/>
        <rFont val="Calibri"/>
        <family val="2"/>
      </rPr>
      <t>(sim/não)</t>
    </r>
  </si>
  <si>
    <r>
      <t xml:space="preserve">Modo de identificação da situação de violência </t>
    </r>
    <r>
      <rPr>
        <sz val="10"/>
        <color theme="0"/>
        <rFont val="Calibri"/>
        <family val="2"/>
      </rPr>
      <t>(demanda do usuário; demanda da comunidade; identificação por parte do profissional)</t>
    </r>
  </si>
  <si>
    <r>
      <t xml:space="preserve">O usuário considera o episódio como uma situação de violência? </t>
    </r>
    <r>
      <rPr>
        <sz val="10"/>
        <color theme="0"/>
        <rFont val="Calibri"/>
        <family val="2"/>
      </rPr>
      <t>(sim/não)</t>
    </r>
  </si>
  <si>
    <r>
      <t xml:space="preserve">Esta situação trata-se de uma prática cultural aceita socialmente nesta etnia? </t>
    </r>
    <r>
      <rPr>
        <sz val="10"/>
        <color theme="0"/>
        <rFont val="Calibri"/>
        <family val="2"/>
      </rPr>
      <t>(sim/não)</t>
    </r>
  </si>
  <si>
    <r>
      <t>A comunidade teve alguma ação de punição, reparação e/ou restabelecimento da ordem diante da ocorrência desse episódio de violência?</t>
    </r>
    <r>
      <rPr>
        <sz val="10"/>
        <color theme="0"/>
        <rFont val="Calibri"/>
        <family val="2"/>
      </rPr>
      <t xml:space="preserve"> (sim/não)</t>
    </r>
  </si>
  <si>
    <r>
      <t xml:space="preserve">                                                                                  PESSOAS    COM    PROBLEMAS    DECORRIDOS    DO    USO    DE    ÁLCOOL    QUE    DEMANDARAM    CUIDADOS    ÀS    EMSI E/OU PROFISSIONAIS    DE    SAÚDE    MENTAL    DO   </t>
    </r>
    <r>
      <rPr>
        <b/>
        <sz val="18"/>
        <color theme="0"/>
        <rFont val="Calibri"/>
        <family val="2"/>
        <scheme val="minor"/>
      </rPr>
      <t xml:space="preserve"> DSEI</t>
    </r>
  </si>
  <si>
    <t>É Gestante?</t>
  </si>
  <si>
    <t xml:space="preserve">O usuário recebe algum benefício social? </t>
  </si>
  <si>
    <t xml:space="preserve">Quem demandou por cuidados relacionados ao álcool? </t>
  </si>
  <si>
    <r>
      <t>Principais problemas decorridos do uso de álcool.</t>
    </r>
    <r>
      <rPr>
        <sz val="11"/>
        <color theme="0"/>
        <rFont val="Calibri"/>
        <family val="2"/>
      </rPr>
      <t xml:space="preserve"> (Marcar um problema por coluna. Em caso de não ocorrer mais de um problema, deixar a coluna em branco.)</t>
    </r>
  </si>
  <si>
    <r>
      <t xml:space="preserve">Tipo de bebida utilizada </t>
    </r>
    <r>
      <rPr>
        <sz val="10"/>
        <color theme="0"/>
        <rFont val="Calibri"/>
        <family val="2"/>
      </rPr>
      <t>(cerveja, cachaça, bebida tradicional, etc.)</t>
    </r>
  </si>
  <si>
    <t>Está sendo acompanhado por algum serviço da RAPS (CAPS, Unidade de Acolhimento, Hospitais Gerais, UPA, Unidade Básica de Saúde, outros)?</t>
  </si>
  <si>
    <t>Nº de atendimentos individuais/familiares + ações coletivas de promoção e prevenção em saúde mental realizadas  pelas EMSI e/ou profissional de SM das quais o paciente participou</t>
  </si>
  <si>
    <r>
      <t xml:space="preserve">Esta sendo acompanhado por algum serviço fora da Rede de Atenção à Saúde </t>
    </r>
    <r>
      <rPr>
        <sz val="10"/>
        <color theme="0"/>
        <rFont val="Calibri"/>
        <family val="2"/>
      </rPr>
      <t>(CRAS/CREAS, entre outros. Marcar com "sim/não")</t>
    </r>
  </si>
  <si>
    <t>O usuário faz uso de medicação psicotrópica?</t>
  </si>
  <si>
    <t>O usuário recebe algum benefício social?</t>
  </si>
  <si>
    <t>É acompanhado pela EMSI (Atendimento familiar e/ou individual)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</si>
</sst>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dd&quot;/&quot;mm&quot;/&quot;yyyy"/>
    <numFmt numFmtId="165" formatCode="d/m/yyyy"/>
    <numFmt numFmtId="166" formatCode="dd/mm/yy"/>
    <numFmt numFmtId="167" formatCode="dd/mm/yy;@"/>
    <numFmt numFmtId="168" formatCode="0.000"/>
    <numFmt numFmtId="169" formatCode="_-* #,##0.000_-;\-* #,##0.000_-;_-* &quot;-&quot;??_-;_-@_-"/>
  </numFmts>
  <fonts count="90" x14ac:knownFonts="1"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sz val="10"/>
      <name val="Arial"/>
      <family val="2"/>
    </font>
    <font>
      <sz val="10"/>
      <color theme="1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sz val="8"/>
      <color indexed="9"/>
      <name val="Arial"/>
      <family val="2"/>
    </font>
    <font>
      <sz val="8"/>
      <color indexed="17"/>
      <name val="Arial"/>
      <family val="2"/>
    </font>
    <font>
      <b/>
      <sz val="8"/>
      <color indexed="52"/>
      <name val="Arial"/>
      <family val="2"/>
    </font>
    <font>
      <b/>
      <sz val="8"/>
      <color indexed="9"/>
      <name val="Arial"/>
      <family val="2"/>
    </font>
    <font>
      <sz val="8"/>
      <color indexed="52"/>
      <name val="Arial"/>
      <family val="2"/>
    </font>
    <font>
      <sz val="8"/>
      <color indexed="62"/>
      <name val="Arial"/>
      <family val="2"/>
    </font>
    <font>
      <sz val="8"/>
      <color indexed="20"/>
      <name val="Arial"/>
      <family val="2"/>
    </font>
    <font>
      <sz val="8"/>
      <color indexed="60"/>
      <name val="Arial"/>
      <family val="2"/>
    </font>
    <font>
      <b/>
      <sz val="8"/>
      <color indexed="63"/>
      <name val="Arial"/>
      <family val="2"/>
    </font>
    <font>
      <sz val="8"/>
      <color indexed="10"/>
      <name val="Arial"/>
      <family val="2"/>
    </font>
    <font>
      <i/>
      <sz val="8"/>
      <color indexed="23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b/>
      <sz val="8"/>
      <color indexed="8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9"/>
      <name val="Times New Roman"/>
      <family val="1"/>
    </font>
    <font>
      <i/>
      <sz val="10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i/>
      <sz val="11"/>
      <color theme="1"/>
      <name val="Times New Roman"/>
      <family val="1"/>
    </font>
    <font>
      <b/>
      <i/>
      <sz val="11"/>
      <color theme="1"/>
      <name val="Calibri"/>
      <family val="2"/>
      <scheme val="minor"/>
    </font>
    <font>
      <b/>
      <i/>
      <sz val="10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omic Sans MS"/>
      <family val="4"/>
    </font>
    <font>
      <sz val="10"/>
      <color theme="1"/>
      <name val="Arial"/>
      <family val="2"/>
    </font>
    <font>
      <sz val="9"/>
      <name val="Arial"/>
      <family val="2"/>
    </font>
    <font>
      <sz val="10"/>
      <name val="Arial"/>
      <family val="2"/>
      <charset val="1"/>
    </font>
    <font>
      <sz val="10"/>
      <color rgb="FF000000"/>
      <name val="Times New Roman"/>
      <family val="1"/>
    </font>
    <font>
      <sz val="11"/>
      <color theme="1"/>
      <name val="Times New Roman"/>
      <family val="1"/>
    </font>
    <font>
      <sz val="12"/>
      <name val="Times New Roman"/>
      <family val="1"/>
    </font>
    <font>
      <b/>
      <sz val="12"/>
      <name val="Arial"/>
      <family val="2"/>
    </font>
    <font>
      <b/>
      <sz val="10"/>
      <color theme="1"/>
      <name val="Times New Roman"/>
      <family val="1"/>
    </font>
    <font>
      <sz val="11"/>
      <name val="Times New Roman"/>
      <family val="1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indexed="10"/>
      <name val="Calibri"/>
      <family val="2"/>
    </font>
    <font>
      <sz val="10"/>
      <name val="Calibri"/>
      <family val="2"/>
    </font>
    <font>
      <b/>
      <sz val="11"/>
      <name val="Calibri"/>
      <family val="2"/>
    </font>
    <font>
      <b/>
      <sz val="11"/>
      <color indexed="8"/>
      <name val="Calibri"/>
      <family val="2"/>
      <scheme val="minor"/>
    </font>
    <font>
      <sz val="10"/>
      <color rgb="FF000000"/>
      <name val="Times New Roman"/>
      <family val="1"/>
      <charset val="1"/>
    </font>
    <font>
      <sz val="10"/>
      <color indexed="8"/>
      <name val="Times New Roman"/>
      <family val="1"/>
    </font>
    <font>
      <sz val="11"/>
      <color theme="0"/>
      <name val="Calibri"/>
      <family val="2"/>
      <scheme val="minor"/>
    </font>
    <font>
      <b/>
      <sz val="10"/>
      <color theme="0"/>
      <name val="Times New Roman"/>
      <family val="1"/>
    </font>
    <font>
      <b/>
      <sz val="12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1"/>
      <name val="Arial"/>
      <family val="2"/>
    </font>
    <font>
      <u/>
      <sz val="11"/>
      <color theme="1"/>
      <name val="Calibri"/>
      <family val="2"/>
      <scheme val="minor"/>
    </font>
    <font>
      <b/>
      <sz val="10"/>
      <color theme="0"/>
      <name val="Arial"/>
      <family val="2"/>
    </font>
    <font>
      <b/>
      <sz val="14"/>
      <color theme="1"/>
      <name val="Arial"/>
      <family val="2"/>
    </font>
    <font>
      <sz val="8"/>
      <name val="Calibri"/>
      <family val="2"/>
      <scheme val="minor"/>
    </font>
    <font>
      <b/>
      <sz val="10"/>
      <color rgb="FFFFFF00"/>
      <name val="Arial"/>
      <family val="2"/>
    </font>
    <font>
      <b/>
      <sz val="10"/>
      <color rgb="FFFFFF00"/>
      <name val="Times New Roman"/>
      <family val="1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Arial"/>
      <family val="2"/>
    </font>
    <font>
      <sz val="16"/>
      <color theme="1"/>
      <name val="Arial Black"/>
      <family val="2"/>
    </font>
    <font>
      <sz val="10"/>
      <color theme="0"/>
      <name val="Calibri"/>
      <family val="2"/>
    </font>
    <font>
      <sz val="9"/>
      <color theme="0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b/>
      <sz val="18"/>
      <color theme="0"/>
      <name val="Calibri"/>
      <family val="2"/>
      <scheme val="minor"/>
    </font>
    <font>
      <b/>
      <sz val="9"/>
      <color theme="0"/>
      <name val="Arial"/>
      <family val="2"/>
    </font>
    <font>
      <i/>
      <sz val="8"/>
      <color theme="1"/>
      <name val="Times New Roman"/>
      <family val="1"/>
    </font>
    <font>
      <b/>
      <sz val="16"/>
      <color rgb="FF000000"/>
      <name val="Arial"/>
      <family val="2"/>
    </font>
    <font>
      <b/>
      <sz val="10"/>
      <color rgb="FF000000"/>
      <name val="Arial"/>
      <family val="2"/>
    </font>
    <font>
      <sz val="14"/>
      <color rgb="FF000000"/>
      <name val="Arial"/>
      <family val="2"/>
    </font>
    <font>
      <sz val="11"/>
      <color rgb="FF000000"/>
      <name val="Arial"/>
      <family val="2"/>
    </font>
    <font>
      <b/>
      <sz val="12"/>
      <color rgb="FFFF0000"/>
      <name val="Arial"/>
      <family val="2"/>
    </font>
    <font>
      <b/>
      <sz val="12"/>
      <color rgb="FFFF0000"/>
      <name val="Calibri"/>
      <family val="2"/>
    </font>
    <font>
      <sz val="11"/>
      <color theme="1"/>
      <name val="Arial"/>
      <family val="2"/>
    </font>
    <font>
      <b/>
      <sz val="28"/>
      <name val="Calibri"/>
      <family val="2"/>
      <scheme val="minor"/>
    </font>
    <font>
      <b/>
      <sz val="22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rgb="FF000000"/>
      <name val="Arial"/>
      <family val="2"/>
    </font>
    <font>
      <b/>
      <sz val="22"/>
      <name val="Calibri"/>
      <family val="2"/>
      <scheme val="minor"/>
    </font>
    <font>
      <sz val="24"/>
      <name val="Calibri"/>
      <family val="2"/>
      <scheme val="minor"/>
    </font>
  </fonts>
  <fills count="6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rgb="FFDDD9C3"/>
        <bgColor rgb="FFC0C0C0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39997558519241921"/>
        <bgColor rgb="FFC0C0C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rgb="FFD9D9D9"/>
      </patternFill>
    </fill>
    <fill>
      <patternFill patternType="solid">
        <fgColor theme="7" tint="0.79998168889431442"/>
        <bgColor rgb="FFD9D9D9"/>
      </patternFill>
    </fill>
    <fill>
      <patternFill patternType="solid">
        <fgColor theme="2" tint="-9.9978637043366805E-2"/>
        <bgColor rgb="FFD9D9D9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00CC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9900"/>
        <bgColor rgb="FFC0C0C0"/>
      </patternFill>
    </fill>
    <fill>
      <patternFill patternType="solid">
        <fgColor rgb="FFCC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rgb="FFC0C0C0"/>
      </patternFill>
    </fill>
    <fill>
      <patternFill patternType="solid">
        <fgColor theme="1"/>
        <bgColor rgb="FFC0C0C0"/>
      </patternFill>
    </fill>
    <fill>
      <patternFill patternType="solid">
        <fgColor theme="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499984740745262"/>
        <bgColor indexed="24"/>
      </patternFill>
    </fill>
    <fill>
      <patternFill patternType="solid">
        <fgColor theme="0"/>
        <bgColor rgb="FFFFFF00"/>
      </patternFill>
    </fill>
    <fill>
      <patternFill patternType="solid">
        <fgColor theme="9" tint="0.59999389629810485"/>
        <bgColor indexed="64"/>
      </patternFill>
    </fill>
  </fills>
  <borders count="9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8"/>
      </right>
      <top style="medium">
        <color indexed="64"/>
      </top>
      <bottom/>
      <diagonal/>
    </border>
    <border>
      <left/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 style="medium">
        <color indexed="8"/>
      </right>
      <top style="medium">
        <color indexed="64"/>
      </top>
      <bottom/>
      <diagonal/>
    </border>
    <border>
      <left style="medium">
        <color indexed="8"/>
      </left>
      <right/>
      <top style="medium">
        <color indexed="64"/>
      </top>
      <bottom/>
      <diagonal/>
    </border>
    <border>
      <left style="medium">
        <color indexed="8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0">
    <xf numFmtId="0" fontId="0" fillId="0" borderId="0"/>
    <xf numFmtId="0" fontId="3" fillId="0" borderId="0" applyFont="0" applyFill="0" applyBorder="0" applyAlignment="0" applyProtection="0"/>
    <xf numFmtId="0" fontId="6" fillId="0" borderId="0"/>
    <xf numFmtId="0" fontId="3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1" borderId="0" applyNumberFormat="0" applyBorder="0" applyAlignment="0" applyProtection="0"/>
    <xf numFmtId="0" fontId="7" fillId="14" borderId="0" applyNumberFormat="0" applyBorder="0" applyAlignment="0" applyProtection="0"/>
    <xf numFmtId="0" fontId="8" fillId="15" borderId="0" applyNumberFormat="0" applyBorder="0" applyAlignment="0" applyProtection="0"/>
    <xf numFmtId="0" fontId="8" fillId="12" borderId="0" applyNumberFormat="0" applyBorder="0" applyAlignment="0" applyProtection="0"/>
    <xf numFmtId="0" fontId="8" fillId="1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18" borderId="0" applyNumberFormat="0" applyBorder="0" applyAlignment="0" applyProtection="0"/>
    <xf numFmtId="0" fontId="9" fillId="7" borderId="0" applyNumberFormat="0" applyBorder="0" applyAlignment="0" applyProtection="0"/>
    <xf numFmtId="0" fontId="10" fillId="19" borderId="30" applyNumberFormat="0" applyAlignment="0" applyProtection="0"/>
    <xf numFmtId="0" fontId="11" fillId="20" borderId="31" applyNumberFormat="0" applyAlignment="0" applyProtection="0"/>
    <xf numFmtId="0" fontId="12" fillId="0" borderId="32" applyNumberFormat="0" applyFill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8" fillId="23" borderId="0" applyNumberFormat="0" applyBorder="0" applyAlignment="0" applyProtection="0"/>
    <xf numFmtId="0" fontId="8" fillId="16" borderId="0" applyNumberFormat="0" applyBorder="0" applyAlignment="0" applyProtection="0"/>
    <xf numFmtId="0" fontId="8" fillId="17" borderId="0" applyNumberFormat="0" applyBorder="0" applyAlignment="0" applyProtection="0"/>
    <xf numFmtId="0" fontId="8" fillId="24" borderId="0" applyNumberFormat="0" applyBorder="0" applyAlignment="0" applyProtection="0"/>
    <xf numFmtId="0" fontId="13" fillId="10" borderId="30" applyNumberFormat="0" applyAlignment="0" applyProtection="0"/>
    <xf numFmtId="0" fontId="14" fillId="6" borderId="0" applyNumberFormat="0" applyBorder="0" applyAlignment="0" applyProtection="0"/>
    <xf numFmtId="0" fontId="15" fillId="25" borderId="0" applyNumberFormat="0" applyBorder="0" applyAlignment="0" applyProtection="0"/>
    <xf numFmtId="0" fontId="3" fillId="0" borderId="0"/>
    <xf numFmtId="0" fontId="7" fillId="26" borderId="33" applyNumberFormat="0" applyFont="0" applyAlignment="0" applyProtection="0"/>
    <xf numFmtId="0" fontId="16" fillId="19" borderId="9" applyNumberFormat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34" applyNumberFormat="0" applyFill="0" applyAlignment="0" applyProtection="0"/>
    <xf numFmtId="0" fontId="21" fillId="0" borderId="35" applyNumberFormat="0" applyFill="0" applyAlignment="0" applyProtection="0"/>
    <xf numFmtId="0" fontId="22" fillId="0" borderId="36" applyNumberFormat="0" applyFill="0" applyAlignment="0" applyProtection="0"/>
    <xf numFmtId="0" fontId="22" fillId="0" borderId="0" applyNumberFormat="0" applyFill="0" applyBorder="0" applyAlignment="0" applyProtection="0"/>
    <xf numFmtId="0" fontId="23" fillId="0" borderId="37" applyNumberFormat="0" applyFill="0" applyAlignment="0" applyProtection="0"/>
    <xf numFmtId="0" fontId="24" fillId="0" borderId="0"/>
    <xf numFmtId="0" fontId="24" fillId="0" borderId="0" applyFont="0" applyFill="0" applyBorder="0" applyAlignment="0" applyProtection="0"/>
    <xf numFmtId="0" fontId="40" fillId="0" borderId="0"/>
    <xf numFmtId="43" fontId="66" fillId="0" borderId="0" applyFont="0" applyFill="0" applyBorder="0" applyAlignment="0" applyProtection="0"/>
  </cellStyleXfs>
  <cellXfs count="625">
    <xf numFmtId="0" fontId="0" fillId="0" borderId="0" xfId="0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right"/>
    </xf>
    <xf numFmtId="0" fontId="0" fillId="0" borderId="0" xfId="0" applyAlignment="1">
      <alignment horizontal="center" vertical="center"/>
    </xf>
    <xf numFmtId="0" fontId="0" fillId="0" borderId="2" xfId="0" applyBorder="1"/>
    <xf numFmtId="0" fontId="5" fillId="27" borderId="1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32" fillId="0" borderId="0" xfId="0" applyFont="1" applyAlignment="1">
      <alignment vertical="justify" readingOrder="1"/>
    </xf>
    <xf numFmtId="0" fontId="0" fillId="0" borderId="0" xfId="0" applyAlignment="1">
      <alignment horizontal="left" vertical="center"/>
    </xf>
    <xf numFmtId="0" fontId="0" fillId="0" borderId="0" xfId="0" applyAlignment="1">
      <alignment vertical="justify" readingOrder="1"/>
    </xf>
    <xf numFmtId="0" fontId="0" fillId="0" borderId="0" xfId="0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48" fillId="36" borderId="16" xfId="0" applyFont="1" applyFill="1" applyBorder="1" applyAlignment="1">
      <alignment horizontal="center" vertical="center" wrapText="1"/>
    </xf>
    <xf numFmtId="0" fontId="48" fillId="36" borderId="49" xfId="0" applyFont="1" applyFill="1" applyBorder="1" applyAlignment="1">
      <alignment horizontal="center" vertical="center" wrapText="1"/>
    </xf>
    <xf numFmtId="0" fontId="48" fillId="36" borderId="15" xfId="0" applyFont="1" applyFill="1" applyBorder="1" applyAlignment="1">
      <alignment horizontal="center" vertical="center" wrapText="1"/>
    </xf>
    <xf numFmtId="0" fontId="0" fillId="0" borderId="52" xfId="0" applyBorder="1"/>
    <xf numFmtId="0" fontId="36" fillId="0" borderId="52" xfId="0" applyFont="1" applyBorder="1" applyAlignment="1">
      <alignment horizontal="left"/>
    </xf>
    <xf numFmtId="0" fontId="36" fillId="0" borderId="3" xfId="0" applyFont="1" applyBorder="1" applyAlignment="1">
      <alignment horizontal="left"/>
    </xf>
    <xf numFmtId="0" fontId="36" fillId="0" borderId="2" xfId="0" applyFont="1" applyBorder="1" applyAlignment="1">
      <alignment horizontal="left" vertical="center" wrapText="1"/>
    </xf>
    <xf numFmtId="0" fontId="36" fillId="3" borderId="2" xfId="0" applyFont="1" applyFill="1" applyBorder="1" applyAlignment="1">
      <alignment horizontal="left" vertical="center" wrapText="1"/>
    </xf>
    <xf numFmtId="0" fontId="36" fillId="3" borderId="3" xfId="0" applyFont="1" applyFill="1" applyBorder="1" applyAlignment="1">
      <alignment horizontal="left" vertical="center" wrapText="1"/>
    </xf>
    <xf numFmtId="0" fontId="36" fillId="3" borderId="53" xfId="0" applyFont="1" applyFill="1" applyBorder="1" applyAlignment="1">
      <alignment horizontal="left"/>
    </xf>
    <xf numFmtId="0" fontId="5" fillId="31" borderId="47" xfId="0" applyFont="1" applyFill="1" applyBorder="1" applyAlignment="1">
      <alignment horizontal="center" vertical="center"/>
    </xf>
    <xf numFmtId="0" fontId="5" fillId="31" borderId="54" xfId="0" applyFont="1" applyFill="1" applyBorder="1" applyAlignment="1">
      <alignment horizontal="center" vertical="center"/>
    </xf>
    <xf numFmtId="0" fontId="5" fillId="2" borderId="47" xfId="0" applyFont="1" applyFill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4" borderId="51" xfId="0" applyFont="1" applyFill="1" applyBorder="1" applyAlignment="1">
      <alignment horizontal="center" vertical="center"/>
    </xf>
    <xf numFmtId="0" fontId="5" fillId="4" borderId="54" xfId="0" applyFont="1" applyFill="1" applyBorder="1" applyAlignment="1">
      <alignment horizontal="center" vertical="center"/>
    </xf>
    <xf numFmtId="0" fontId="5" fillId="28" borderId="47" xfId="0" applyFont="1" applyFill="1" applyBorder="1" applyAlignment="1">
      <alignment horizontal="center" vertical="center"/>
    </xf>
    <xf numFmtId="0" fontId="5" fillId="28" borderId="20" xfId="0" applyFont="1" applyFill="1" applyBorder="1" applyAlignment="1">
      <alignment horizontal="center" vertical="center"/>
    </xf>
    <xf numFmtId="14" fontId="1" fillId="3" borderId="2" xfId="0" applyNumberFormat="1" applyFont="1" applyFill="1" applyBorder="1" applyAlignment="1">
      <alignment horizontal="center" vertical="center"/>
    </xf>
    <xf numFmtId="0" fontId="42" fillId="0" borderId="0" xfId="0" applyFont="1"/>
    <xf numFmtId="0" fontId="3" fillId="0" borderId="57" xfId="0" applyFont="1" applyBorder="1" applyAlignment="1">
      <alignment horizontal="center" vertical="center" wrapText="1"/>
    </xf>
    <xf numFmtId="0" fontId="4" fillId="3" borderId="59" xfId="0" applyFont="1" applyFill="1" applyBorder="1" applyAlignment="1">
      <alignment vertical="center"/>
    </xf>
    <xf numFmtId="0" fontId="1" fillId="3" borderId="59" xfId="0" applyFont="1" applyFill="1" applyBorder="1" applyAlignment="1">
      <alignment horizontal="center" vertical="center"/>
    </xf>
    <xf numFmtId="0" fontId="54" fillId="3" borderId="59" xfId="0" applyFont="1" applyFill="1" applyBorder="1" applyAlignment="1">
      <alignment horizontal="center" vertical="center"/>
    </xf>
    <xf numFmtId="14" fontId="1" fillId="3" borderId="59" xfId="0" applyNumberFormat="1" applyFont="1" applyFill="1" applyBorder="1" applyAlignment="1">
      <alignment horizontal="center" vertical="center"/>
    </xf>
    <xf numFmtId="0" fontId="0" fillId="0" borderId="59" xfId="0" applyBorder="1"/>
    <xf numFmtId="0" fontId="4" fillId="0" borderId="58" xfId="0" applyFont="1" applyBorder="1"/>
    <xf numFmtId="0" fontId="4" fillId="0" borderId="59" xfId="0" applyFont="1" applyBorder="1"/>
    <xf numFmtId="0" fontId="1" fillId="44" borderId="59" xfId="0" applyFont="1" applyFill="1" applyBorder="1" applyAlignment="1">
      <alignment vertical="center"/>
    </xf>
    <xf numFmtId="0" fontId="4" fillId="3" borderId="59" xfId="0" applyFont="1" applyFill="1" applyBorder="1"/>
    <xf numFmtId="0" fontId="0" fillId="0" borderId="59" xfId="0" applyBorder="1" applyAlignment="1">
      <alignment horizontal="center"/>
    </xf>
    <xf numFmtId="16" fontId="1" fillId="3" borderId="59" xfId="0" applyNumberFormat="1" applyFont="1" applyFill="1" applyBorder="1" applyAlignment="1">
      <alignment horizontal="center" vertical="center" wrapText="1"/>
    </xf>
    <xf numFmtId="0" fontId="52" fillId="37" borderId="26" xfId="0" applyFont="1" applyFill="1" applyBorder="1" applyAlignment="1">
      <alignment horizontal="left"/>
    </xf>
    <xf numFmtId="0" fontId="52" fillId="37" borderId="62" xfId="0" applyFont="1" applyFill="1" applyBorder="1" applyAlignment="1">
      <alignment horizontal="left"/>
    </xf>
    <xf numFmtId="0" fontId="55" fillId="50" borderId="7" xfId="0" applyFont="1" applyFill="1" applyBorder="1"/>
    <xf numFmtId="0" fontId="55" fillId="50" borderId="45" xfId="0" applyFont="1" applyFill="1" applyBorder="1" applyAlignment="1">
      <alignment horizontal="center"/>
    </xf>
    <xf numFmtId="0" fontId="55" fillId="50" borderId="48" xfId="0" applyFont="1" applyFill="1" applyBorder="1"/>
    <xf numFmtId="0" fontId="55" fillId="50" borderId="56" xfId="0" applyFont="1" applyFill="1" applyBorder="1"/>
    <xf numFmtId="0" fontId="55" fillId="50" borderId="8" xfId="0" applyFont="1" applyFill="1" applyBorder="1"/>
    <xf numFmtId="0" fontId="55" fillId="50" borderId="6" xfId="0" applyFont="1" applyFill="1" applyBorder="1"/>
    <xf numFmtId="0" fontId="0" fillId="0" borderId="25" xfId="0" applyBorder="1"/>
    <xf numFmtId="0" fontId="0" fillId="0" borderId="26" xfId="0" applyBorder="1"/>
    <xf numFmtId="0" fontId="0" fillId="0" borderId="55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63" xfId="0" applyBorder="1"/>
    <xf numFmtId="0" fontId="48" fillId="0" borderId="0" xfId="0" applyFont="1" applyAlignment="1">
      <alignment horizontal="center" vertical="center" wrapText="1"/>
    </xf>
    <xf numFmtId="0" fontId="0" fillId="0" borderId="4" xfId="0" applyBorder="1"/>
    <xf numFmtId="0" fontId="55" fillId="0" borderId="59" xfId="0" applyFont="1" applyBorder="1"/>
    <xf numFmtId="0" fontId="0" fillId="3" borderId="2" xfId="0" applyFill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0" fillId="0" borderId="52" xfId="0" applyBorder="1" applyAlignment="1">
      <alignment horizontal="left"/>
    </xf>
    <xf numFmtId="0" fontId="3" fillId="3" borderId="2" xfId="0" applyFont="1" applyFill="1" applyBorder="1" applyAlignment="1">
      <alignment horizontal="center"/>
    </xf>
    <xf numFmtId="14" fontId="3" fillId="3" borderId="2" xfId="0" applyNumberFormat="1" applyFont="1" applyFill="1" applyBorder="1" applyAlignment="1">
      <alignment horizontal="center"/>
    </xf>
    <xf numFmtId="0" fontId="29" fillId="0" borderId="2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0" fillId="0" borderId="59" xfId="0" applyBorder="1" applyAlignment="1">
      <alignment horizontal="center" vertical="center"/>
    </xf>
    <xf numFmtId="0" fontId="34" fillId="0" borderId="49" xfId="0" applyFont="1" applyBorder="1" applyAlignment="1">
      <alignment horizontal="center" vertical="center"/>
    </xf>
    <xf numFmtId="0" fontId="61" fillId="52" borderId="10" xfId="0" applyFont="1" applyFill="1" applyBorder="1" applyAlignment="1">
      <alignment horizontal="center" vertical="center" wrapText="1"/>
    </xf>
    <xf numFmtId="0" fontId="56" fillId="52" borderId="11" xfId="0" applyFont="1" applyFill="1" applyBorder="1" applyAlignment="1">
      <alignment horizontal="center" vertical="center" wrapText="1"/>
    </xf>
    <xf numFmtId="0" fontId="61" fillId="52" borderId="11" xfId="0" applyFont="1" applyFill="1" applyBorder="1" applyAlignment="1">
      <alignment horizontal="center" vertical="center" wrapText="1"/>
    </xf>
    <xf numFmtId="0" fontId="61" fillId="52" borderId="11" xfId="0" applyFont="1" applyFill="1" applyBorder="1" applyAlignment="1">
      <alignment horizontal="center" vertical="center"/>
    </xf>
    <xf numFmtId="0" fontId="29" fillId="0" borderId="57" xfId="0" applyFont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0" fillId="0" borderId="66" xfId="0" applyBorder="1"/>
    <xf numFmtId="0" fontId="55" fillId="50" borderId="67" xfId="0" applyFont="1" applyFill="1" applyBorder="1"/>
    <xf numFmtId="0" fontId="55" fillId="50" borderId="68" xfId="0" applyFont="1" applyFill="1" applyBorder="1" applyAlignment="1">
      <alignment horizontal="center"/>
    </xf>
    <xf numFmtId="0" fontId="60" fillId="0" borderId="0" xfId="0" applyFont="1" applyAlignment="1">
      <alignment horizontal="center" vertical="center"/>
    </xf>
    <xf numFmtId="0" fontId="45" fillId="53" borderId="11" xfId="0" applyFont="1" applyFill="1" applyBorder="1" applyAlignment="1">
      <alignment horizontal="center" vertical="center" wrapText="1"/>
    </xf>
    <xf numFmtId="0" fontId="45" fillId="53" borderId="60" xfId="0" applyFont="1" applyFill="1" applyBorder="1" applyAlignment="1">
      <alignment horizontal="center" vertical="center" textRotation="90"/>
    </xf>
    <xf numFmtId="0" fontId="45" fillId="53" borderId="38" xfId="0" applyFont="1" applyFill="1" applyBorder="1" applyAlignment="1">
      <alignment horizontal="center" vertical="center" textRotation="90"/>
    </xf>
    <xf numFmtId="0" fontId="45" fillId="53" borderId="61" xfId="0" applyFont="1" applyFill="1" applyBorder="1" applyAlignment="1">
      <alignment horizontal="center" vertical="center" textRotation="90"/>
    </xf>
    <xf numFmtId="0" fontId="45" fillId="53" borderId="10" xfId="0" applyFont="1" applyFill="1" applyBorder="1" applyAlignment="1">
      <alignment horizontal="center" vertical="center" wrapText="1"/>
    </xf>
    <xf numFmtId="0" fontId="45" fillId="53" borderId="13" xfId="1" applyFont="1" applyFill="1" applyBorder="1" applyAlignment="1">
      <alignment horizontal="center" vertical="center" wrapText="1"/>
    </xf>
    <xf numFmtId="0" fontId="45" fillId="53" borderId="11" xfId="1" applyFont="1" applyFill="1" applyBorder="1" applyAlignment="1">
      <alignment horizontal="center" vertical="center" wrapText="1"/>
    </xf>
    <xf numFmtId="0" fontId="45" fillId="53" borderId="24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53" borderId="49" xfId="0" applyFont="1" applyFill="1" applyBorder="1" applyAlignment="1">
      <alignment horizontal="center" vertical="center"/>
    </xf>
    <xf numFmtId="0" fontId="2" fillId="53" borderId="11" xfId="0" applyFont="1" applyFill="1" applyBorder="1" applyAlignment="1">
      <alignment horizontal="center" vertical="center"/>
    </xf>
    <xf numFmtId="0" fontId="2" fillId="53" borderId="11" xfId="0" applyFont="1" applyFill="1" applyBorder="1" applyAlignment="1">
      <alignment horizontal="center" vertical="center" wrapText="1"/>
    </xf>
    <xf numFmtId="0" fontId="2" fillId="53" borderId="13" xfId="0" applyFont="1" applyFill="1" applyBorder="1" applyAlignment="1">
      <alignment horizontal="center" vertical="center"/>
    </xf>
    <xf numFmtId="0" fontId="61" fillId="0" borderId="0" xfId="0" applyFont="1" applyAlignment="1">
      <alignment vertical="center" wrapText="1"/>
    </xf>
    <xf numFmtId="0" fontId="61" fillId="0" borderId="0" xfId="0" applyFont="1" applyAlignment="1">
      <alignment vertical="center" textRotation="90"/>
    </xf>
    <xf numFmtId="0" fontId="5" fillId="0" borderId="0" xfId="0" applyFont="1" applyAlignment="1">
      <alignment vertical="center"/>
    </xf>
    <xf numFmtId="0" fontId="61" fillId="0" borderId="21" xfId="0" applyFont="1" applyBorder="1" applyAlignment="1">
      <alignment vertical="center" wrapText="1"/>
    </xf>
    <xf numFmtId="0" fontId="61" fillId="50" borderId="11" xfId="0" applyFont="1" applyFill="1" applyBorder="1" applyAlignment="1">
      <alignment horizontal="center" vertical="center"/>
    </xf>
    <xf numFmtId="0" fontId="61" fillId="50" borderId="10" xfId="0" applyFont="1" applyFill="1" applyBorder="1" applyAlignment="1">
      <alignment horizontal="center" vertical="center" textRotation="90"/>
    </xf>
    <xf numFmtId="0" fontId="56" fillId="50" borderId="11" xfId="0" applyFont="1" applyFill="1" applyBorder="1" applyAlignment="1">
      <alignment horizontal="center" vertical="center" wrapText="1"/>
    </xf>
    <xf numFmtId="0" fontId="61" fillId="50" borderId="11" xfId="0" applyFont="1" applyFill="1" applyBorder="1" applyAlignment="1">
      <alignment horizontal="center" vertical="center" wrapText="1"/>
    </xf>
    <xf numFmtId="14" fontId="61" fillId="50" borderId="11" xfId="0" applyNumberFormat="1" applyFont="1" applyFill="1" applyBorder="1" applyAlignment="1">
      <alignment horizontal="center" vertical="center" wrapText="1"/>
    </xf>
    <xf numFmtId="0" fontId="64" fillId="50" borderId="13" xfId="0" applyFont="1" applyFill="1" applyBorder="1" applyAlignment="1">
      <alignment horizontal="center" vertical="center"/>
    </xf>
    <xf numFmtId="0" fontId="42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63" xfId="0" applyFont="1" applyFill="1" applyBorder="1" applyAlignment="1">
      <alignment horizontal="center" vertical="center"/>
    </xf>
    <xf numFmtId="0" fontId="1" fillId="3" borderId="2" xfId="0" applyFont="1" applyFill="1" applyBorder="1"/>
    <xf numFmtId="0" fontId="65" fillId="50" borderId="49" xfId="0" applyFont="1" applyFill="1" applyBorder="1" applyAlignment="1">
      <alignment horizontal="center" vertical="center" wrapText="1"/>
    </xf>
    <xf numFmtId="0" fontId="28" fillId="3" borderId="59" xfId="0" applyFont="1" applyFill="1" applyBorder="1" applyAlignment="1">
      <alignment horizontal="center" vertical="center" wrapText="1"/>
    </xf>
    <xf numFmtId="0" fontId="28" fillId="0" borderId="59" xfId="0" applyFont="1" applyBorder="1" applyAlignment="1">
      <alignment horizontal="center" vertical="center" wrapText="1"/>
    </xf>
    <xf numFmtId="0" fontId="45" fillId="53" borderId="69" xfId="0" applyFont="1" applyFill="1" applyBorder="1" applyAlignment="1">
      <alignment horizontal="center" vertical="center" textRotation="90"/>
    </xf>
    <xf numFmtId="0" fontId="0" fillId="0" borderId="41" xfId="0" applyBorder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vertical="center" wrapText="1"/>
    </xf>
    <xf numFmtId="14" fontId="45" fillId="0" borderId="0" xfId="0" applyNumberFormat="1" applyFont="1" applyAlignment="1">
      <alignment vertical="center" wrapText="1"/>
    </xf>
    <xf numFmtId="0" fontId="45" fillId="0" borderId="0" xfId="0" applyFont="1" applyAlignment="1">
      <alignment vertical="center" textRotation="90" wrapText="1"/>
    </xf>
    <xf numFmtId="0" fontId="2" fillId="53" borderId="49" xfId="0" applyFont="1" applyFill="1" applyBorder="1" applyAlignment="1">
      <alignment horizontal="center" vertical="center" textRotation="90" wrapText="1"/>
    </xf>
    <xf numFmtId="0" fontId="2" fillId="0" borderId="0" xfId="0" applyFont="1" applyAlignment="1">
      <alignment vertical="center" textRotation="90" wrapText="1"/>
    </xf>
    <xf numFmtId="0" fontId="0" fillId="0" borderId="52" xfId="0" applyBorder="1" applyAlignment="1">
      <alignment vertical="center"/>
    </xf>
    <xf numFmtId="0" fontId="45" fillId="53" borderId="10" xfId="0" applyFont="1" applyFill="1" applyBorder="1" applyAlignment="1">
      <alignment horizontal="center" vertical="center"/>
    </xf>
    <xf numFmtId="0" fontId="45" fillId="53" borderId="11" xfId="0" applyFont="1" applyFill="1" applyBorder="1" applyAlignment="1">
      <alignment horizontal="center" vertical="center"/>
    </xf>
    <xf numFmtId="14" fontId="45" fillId="53" borderId="11" xfId="0" applyNumberFormat="1" applyFont="1" applyFill="1" applyBorder="1" applyAlignment="1">
      <alignment horizontal="center" vertical="center" wrapText="1"/>
    </xf>
    <xf numFmtId="0" fontId="45" fillId="53" borderId="13" xfId="0" applyFont="1" applyFill="1" applyBorder="1" applyAlignment="1">
      <alignment horizontal="center" vertical="center" textRotation="90" wrapText="1"/>
    </xf>
    <xf numFmtId="0" fontId="2" fillId="53" borderId="12" xfId="0" applyFont="1" applyFill="1" applyBorder="1" applyAlignment="1">
      <alignment horizontal="center" vertical="center"/>
    </xf>
    <xf numFmtId="14" fontId="3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8" fillId="0" borderId="64" xfId="0" applyFont="1" applyBorder="1"/>
    <xf numFmtId="0" fontId="28" fillId="0" borderId="65" xfId="0" applyFont="1" applyBorder="1"/>
    <xf numFmtId="0" fontId="28" fillId="0" borderId="65" xfId="0" applyFont="1" applyBorder="1" applyAlignment="1">
      <alignment vertical="center"/>
    </xf>
    <xf numFmtId="0" fontId="29" fillId="0" borderId="65" xfId="0" applyFont="1" applyBorder="1"/>
    <xf numFmtId="0" fontId="5" fillId="3" borderId="51" xfId="0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0" fontId="2" fillId="0" borderId="59" xfId="0" applyFont="1" applyBorder="1" applyAlignment="1">
      <alignment horizontal="center"/>
    </xf>
    <xf numFmtId="0" fontId="61" fillId="50" borderId="60" xfId="0" applyFont="1" applyFill="1" applyBorder="1" applyAlignment="1">
      <alignment horizontal="center" vertical="center"/>
    </xf>
    <xf numFmtId="0" fontId="61" fillId="50" borderId="38" xfId="0" applyFont="1" applyFill="1" applyBorder="1" applyAlignment="1">
      <alignment horizontal="center" vertical="center"/>
    </xf>
    <xf numFmtId="0" fontId="56" fillId="50" borderId="38" xfId="0" applyFont="1" applyFill="1" applyBorder="1" applyAlignment="1">
      <alignment horizontal="center" vertical="center" wrapText="1"/>
    </xf>
    <xf numFmtId="0" fontId="61" fillId="50" borderId="38" xfId="0" applyFont="1" applyFill="1" applyBorder="1" applyAlignment="1">
      <alignment horizontal="center" vertical="center" wrapText="1"/>
    </xf>
    <xf numFmtId="0" fontId="61" fillId="50" borderId="38" xfId="0" applyFont="1" applyFill="1" applyBorder="1" applyAlignment="1">
      <alignment horizontal="center" vertical="center" textRotation="90" wrapText="1"/>
    </xf>
    <xf numFmtId="0" fontId="56" fillId="50" borderId="10" xfId="0" applyFont="1" applyFill="1" applyBorder="1" applyAlignment="1">
      <alignment horizontal="center" vertical="center" textRotation="90"/>
    </xf>
    <xf numFmtId="0" fontId="56" fillId="50" borderId="11" xfId="0" applyFont="1" applyFill="1" applyBorder="1" applyAlignment="1">
      <alignment horizontal="center" vertical="center"/>
    </xf>
    <xf numFmtId="0" fontId="56" fillId="50" borderId="11" xfId="0" applyFont="1" applyFill="1" applyBorder="1" applyAlignment="1">
      <alignment horizontal="center" vertical="center" textRotation="90" wrapText="1"/>
    </xf>
    <xf numFmtId="0" fontId="56" fillId="50" borderId="13" xfId="0" applyFont="1" applyFill="1" applyBorder="1" applyAlignment="1">
      <alignment horizontal="center" vertical="center" textRotation="90" wrapText="1"/>
    </xf>
    <xf numFmtId="0" fontId="67" fillId="55" borderId="17" xfId="0" applyFont="1" applyFill="1" applyBorder="1" applyAlignment="1">
      <alignment horizontal="center" vertical="center" wrapText="1"/>
    </xf>
    <xf numFmtId="0" fontId="67" fillId="55" borderId="49" xfId="0" applyFont="1" applyFill="1" applyBorder="1" applyAlignment="1">
      <alignment horizontal="center" vertical="center" wrapText="1"/>
    </xf>
    <xf numFmtId="0" fontId="67" fillId="55" borderId="16" xfId="0" applyFont="1" applyFill="1" applyBorder="1" applyAlignment="1">
      <alignment horizontal="center" vertical="center" wrapText="1"/>
    </xf>
    <xf numFmtId="0" fontId="67" fillId="55" borderId="15" xfId="0" applyFont="1" applyFill="1" applyBorder="1" applyAlignment="1">
      <alignment horizontal="center" vertical="center" wrapText="1"/>
    </xf>
    <xf numFmtId="0" fontId="67" fillId="55" borderId="10" xfId="0" applyFont="1" applyFill="1" applyBorder="1" applyAlignment="1">
      <alignment horizontal="center" vertical="center" wrapText="1"/>
    </xf>
    <xf numFmtId="0" fontId="67" fillId="55" borderId="11" xfId="0" applyFont="1" applyFill="1" applyBorder="1" applyAlignment="1">
      <alignment horizontal="center" vertical="center" wrapText="1"/>
    </xf>
    <xf numFmtId="0" fontId="67" fillId="55" borderId="13" xfId="0" applyFont="1" applyFill="1" applyBorder="1" applyAlignment="1">
      <alignment horizontal="center" vertical="center" wrapText="1"/>
    </xf>
    <xf numFmtId="0" fontId="67" fillId="55" borderId="24" xfId="0" applyFont="1" applyFill="1" applyBorder="1" applyAlignment="1">
      <alignment horizontal="center" vertical="center" wrapText="1"/>
    </xf>
    <xf numFmtId="0" fontId="0" fillId="0" borderId="0" xfId="0" applyAlignment="1">
      <alignment textRotation="180"/>
    </xf>
    <xf numFmtId="0" fontId="69" fillId="0" borderId="0" xfId="0" applyFont="1" applyAlignment="1">
      <alignment horizontal="center"/>
    </xf>
    <xf numFmtId="0" fontId="5" fillId="0" borderId="0" xfId="0" applyFont="1" applyAlignment="1">
      <alignment vertical="center" wrapText="1"/>
    </xf>
    <xf numFmtId="0" fontId="25" fillId="0" borderId="0" xfId="0" applyFont="1" applyAlignment="1">
      <alignment horizontal="center" vertical="center"/>
    </xf>
    <xf numFmtId="0" fontId="67" fillId="32" borderId="49" xfId="0" applyFont="1" applyFill="1" applyBorder="1" applyAlignment="1">
      <alignment horizontal="center" vertical="center"/>
    </xf>
    <xf numFmtId="0" fontId="61" fillId="50" borderId="57" xfId="0" applyFont="1" applyFill="1" applyBorder="1" applyAlignment="1">
      <alignment horizontal="center" vertical="center" wrapText="1"/>
    </xf>
    <xf numFmtId="0" fontId="56" fillId="50" borderId="57" xfId="0" applyFont="1" applyFill="1" applyBorder="1" applyAlignment="1">
      <alignment horizontal="center" vertical="center" wrapText="1"/>
    </xf>
    <xf numFmtId="0" fontId="56" fillId="50" borderId="57" xfId="0" applyFont="1" applyFill="1" applyBorder="1" applyAlignment="1">
      <alignment vertical="center" wrapText="1"/>
    </xf>
    <xf numFmtId="0" fontId="56" fillId="50" borderId="57" xfId="0" applyFont="1" applyFill="1" applyBorder="1" applyAlignment="1">
      <alignment horizontal="center" vertical="center" textRotation="90" wrapText="1"/>
    </xf>
    <xf numFmtId="0" fontId="61" fillId="60" borderId="74" xfId="0" applyFont="1" applyFill="1" applyBorder="1" applyAlignment="1">
      <alignment horizontal="center" vertical="center"/>
    </xf>
    <xf numFmtId="0" fontId="61" fillId="60" borderId="79" xfId="0" applyFont="1" applyFill="1" applyBorder="1" applyAlignment="1">
      <alignment horizontal="center" vertical="justify"/>
    </xf>
    <xf numFmtId="0" fontId="61" fillId="60" borderId="80" xfId="0" applyFont="1" applyFill="1" applyBorder="1" applyAlignment="1">
      <alignment horizontal="center" vertical="center" wrapText="1"/>
    </xf>
    <xf numFmtId="0" fontId="61" fillId="60" borderId="81" xfId="0" applyFont="1" applyFill="1" applyBorder="1" applyAlignment="1">
      <alignment horizontal="center" vertical="center" wrapText="1"/>
    </xf>
    <xf numFmtId="0" fontId="61" fillId="60" borderId="73" xfId="0" applyFont="1" applyFill="1" applyBorder="1" applyAlignment="1">
      <alignment horizontal="center" vertical="center"/>
    </xf>
    <xf numFmtId="0" fontId="61" fillId="60" borderId="75" xfId="0" applyFont="1" applyFill="1" applyBorder="1" applyAlignment="1">
      <alignment horizontal="center" vertical="center"/>
    </xf>
    <xf numFmtId="0" fontId="61" fillId="60" borderId="75" xfId="0" applyFont="1" applyFill="1" applyBorder="1" applyAlignment="1">
      <alignment horizontal="center" vertical="center" wrapText="1"/>
    </xf>
    <xf numFmtId="0" fontId="61" fillId="60" borderId="77" xfId="0" applyFont="1" applyFill="1" applyBorder="1" applyAlignment="1">
      <alignment horizontal="center" vertical="center"/>
    </xf>
    <xf numFmtId="0" fontId="61" fillId="60" borderId="19" xfId="0" applyFont="1" applyFill="1" applyBorder="1" applyAlignment="1">
      <alignment horizontal="center" vertical="center" wrapText="1"/>
    </xf>
    <xf numFmtId="0" fontId="61" fillId="60" borderId="76" xfId="0" applyFont="1" applyFill="1" applyBorder="1" applyAlignment="1">
      <alignment horizontal="center" vertical="center" wrapText="1"/>
    </xf>
    <xf numFmtId="0" fontId="67" fillId="50" borderId="47" xfId="0" applyFont="1" applyFill="1" applyBorder="1" applyAlignment="1">
      <alignment horizontal="center" vertical="justify"/>
    </xf>
    <xf numFmtId="0" fontId="67" fillId="50" borderId="14" xfId="0" applyFont="1" applyFill="1" applyBorder="1" applyAlignment="1">
      <alignment horizontal="center" vertical="justify"/>
    </xf>
    <xf numFmtId="0" fontId="67" fillId="50" borderId="20" xfId="0" applyFont="1" applyFill="1" applyBorder="1" applyAlignment="1">
      <alignment horizontal="center" vertical="justify"/>
    </xf>
    <xf numFmtId="0" fontId="67" fillId="50" borderId="22" xfId="0" applyFont="1" applyFill="1" applyBorder="1" applyAlignment="1">
      <alignment horizontal="center" vertical="center"/>
    </xf>
    <xf numFmtId="0" fontId="61" fillId="60" borderId="57" xfId="0" applyFont="1" applyFill="1" applyBorder="1" applyAlignment="1">
      <alignment horizontal="center" vertical="center" wrapText="1"/>
    </xf>
    <xf numFmtId="0" fontId="56" fillId="60" borderId="57" xfId="0" applyFont="1" applyFill="1" applyBorder="1" applyAlignment="1">
      <alignment horizontal="center" vertical="center" wrapText="1"/>
    </xf>
    <xf numFmtId="0" fontId="56" fillId="50" borderId="47" xfId="0" applyFont="1" applyFill="1" applyBorder="1" applyAlignment="1">
      <alignment horizontal="center" vertical="center"/>
    </xf>
    <xf numFmtId="0" fontId="56" fillId="50" borderId="14" xfId="0" applyFont="1" applyFill="1" applyBorder="1" applyAlignment="1">
      <alignment horizontal="center" vertical="center"/>
    </xf>
    <xf numFmtId="0" fontId="56" fillId="50" borderId="14" xfId="0" applyFont="1" applyFill="1" applyBorder="1" applyAlignment="1">
      <alignment horizontal="center" vertical="center" wrapText="1"/>
    </xf>
    <xf numFmtId="0" fontId="56" fillId="50" borderId="47" xfId="0" applyFont="1" applyFill="1" applyBorder="1" applyAlignment="1">
      <alignment horizontal="center" vertical="center" wrapText="1"/>
    </xf>
    <xf numFmtId="0" fontId="56" fillId="50" borderId="54" xfId="0" applyFont="1" applyFill="1" applyBorder="1" applyAlignment="1">
      <alignment horizontal="center" vertical="center" wrapText="1"/>
    </xf>
    <xf numFmtId="0" fontId="56" fillId="50" borderId="51" xfId="0" applyFont="1" applyFill="1" applyBorder="1" applyAlignment="1">
      <alignment horizontal="center" vertical="center" wrapText="1"/>
    </xf>
    <xf numFmtId="0" fontId="56" fillId="50" borderId="20" xfId="0" applyFont="1" applyFill="1" applyBorder="1" applyAlignment="1">
      <alignment horizontal="center" vertical="center"/>
    </xf>
    <xf numFmtId="0" fontId="77" fillId="0" borderId="0" xfId="0" applyFont="1" applyAlignment="1">
      <alignment vertical="center"/>
    </xf>
    <xf numFmtId="0" fontId="79" fillId="61" borderId="0" xfId="0" applyFont="1" applyFill="1" applyAlignment="1">
      <alignment vertical="center"/>
    </xf>
    <xf numFmtId="0" fontId="0" fillId="61" borderId="0" xfId="0" applyFill="1" applyAlignment="1">
      <alignment horizontal="center"/>
    </xf>
    <xf numFmtId="14" fontId="80" fillId="61" borderId="0" xfId="0" applyNumberFormat="1" applyFont="1" applyFill="1" applyAlignment="1">
      <alignment horizontal="lef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center" vertical="center"/>
    </xf>
    <xf numFmtId="164" fontId="0" fillId="3" borderId="0" xfId="0" applyNumberFormat="1" applyFill="1" applyAlignment="1">
      <alignment horizontal="center"/>
    </xf>
    <xf numFmtId="0" fontId="78" fillId="3" borderId="0" xfId="0" applyFont="1" applyFill="1" applyAlignment="1">
      <alignment horizontal="left"/>
    </xf>
    <xf numFmtId="0" fontId="81" fillId="0" borderId="10" xfId="0" applyFont="1" applyBorder="1" applyAlignment="1">
      <alignment horizontal="center" vertical="center" wrapText="1"/>
    </xf>
    <xf numFmtId="0" fontId="81" fillId="0" borderId="84" xfId="0" applyFont="1" applyBorder="1" applyAlignment="1">
      <alignment horizontal="center" vertical="center" wrapText="1"/>
    </xf>
    <xf numFmtId="0" fontId="81" fillId="0" borderId="85" xfId="0" applyFont="1" applyBorder="1" applyAlignment="1">
      <alignment horizontal="center" vertical="center" wrapText="1"/>
    </xf>
    <xf numFmtId="0" fontId="81" fillId="0" borderId="86" xfId="0" applyFont="1" applyBorder="1" applyAlignment="1">
      <alignment horizontal="center" vertical="center" wrapText="1"/>
    </xf>
    <xf numFmtId="0" fontId="82" fillId="0" borderId="16" xfId="0" applyFont="1" applyBorder="1" applyAlignment="1">
      <alignment horizontal="center" vertical="center" wrapText="1"/>
    </xf>
    <xf numFmtId="164" fontId="81" fillId="0" borderId="87" xfId="0" applyNumberFormat="1" applyFont="1" applyBorder="1" applyAlignment="1">
      <alignment horizontal="center" vertical="center" wrapText="1"/>
    </xf>
    <xf numFmtId="0" fontId="81" fillId="0" borderId="88" xfId="0" applyFont="1" applyBorder="1" applyAlignment="1">
      <alignment horizontal="center" vertical="center" wrapText="1"/>
    </xf>
    <xf numFmtId="0" fontId="81" fillId="0" borderId="89" xfId="0" applyFont="1" applyBorder="1" applyAlignment="1">
      <alignment horizontal="center" vertical="center" wrapText="1"/>
    </xf>
    <xf numFmtId="0" fontId="25" fillId="53" borderId="47" xfId="0" applyFont="1" applyFill="1" applyBorder="1" applyAlignment="1">
      <alignment horizontal="center" vertical="center"/>
    </xf>
    <xf numFmtId="0" fontId="68" fillId="53" borderId="14" xfId="0" applyFont="1" applyFill="1" applyBorder="1" applyAlignment="1">
      <alignment horizontal="center" vertical="center"/>
    </xf>
    <xf numFmtId="0" fontId="68" fillId="53" borderId="14" xfId="0" applyFont="1" applyFill="1" applyBorder="1" applyAlignment="1">
      <alignment horizontal="center" vertical="center" wrapText="1"/>
    </xf>
    <xf numFmtId="0" fontId="68" fillId="53" borderId="54" xfId="0" applyFont="1" applyFill="1" applyBorder="1" applyAlignment="1">
      <alignment horizontal="center" vertical="center"/>
    </xf>
    <xf numFmtId="0" fontId="68" fillId="53" borderId="20" xfId="0" applyFont="1" applyFill="1" applyBorder="1" applyAlignment="1">
      <alignment horizontal="center" vertical="center" wrapText="1"/>
    </xf>
    <xf numFmtId="0" fontId="0" fillId="3" borderId="59" xfId="0" applyFill="1" applyBorder="1" applyAlignment="1">
      <alignment horizontal="left" vertical="center"/>
    </xf>
    <xf numFmtId="0" fontId="0" fillId="3" borderId="59" xfId="0" applyFill="1" applyBorder="1" applyAlignment="1">
      <alignment horizontal="left" vertical="center" wrapText="1"/>
    </xf>
    <xf numFmtId="0" fontId="0" fillId="0" borderId="59" xfId="0" applyBorder="1" applyAlignment="1">
      <alignment horizontal="left"/>
    </xf>
    <xf numFmtId="0" fontId="0" fillId="0" borderId="59" xfId="0" applyBorder="1" applyAlignment="1">
      <alignment horizontal="left" vertical="center"/>
    </xf>
    <xf numFmtId="0" fontId="36" fillId="3" borderId="59" xfId="0" applyFont="1" applyFill="1" applyBorder="1" applyAlignment="1">
      <alignment horizontal="center" vertical="center" wrapText="1"/>
    </xf>
    <xf numFmtId="0" fontId="36" fillId="0" borderId="59" xfId="0" applyFont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14" fontId="0" fillId="0" borderId="59" xfId="0" applyNumberFormat="1" applyBorder="1" applyAlignment="1">
      <alignment horizontal="center"/>
    </xf>
    <xf numFmtId="1" fontId="0" fillId="0" borderId="58" xfId="0" applyNumberFormat="1" applyBorder="1" applyAlignment="1">
      <alignment horizontal="center"/>
    </xf>
    <xf numFmtId="1" fontId="4" fillId="0" borderId="59" xfId="0" applyNumberFormat="1" applyFont="1" applyBorder="1"/>
    <xf numFmtId="1" fontId="38" fillId="0" borderId="59" xfId="0" applyNumberFormat="1" applyFont="1" applyBorder="1" applyAlignment="1">
      <alignment horizontal="center"/>
    </xf>
    <xf numFmtId="0" fontId="38" fillId="0" borderId="59" xfId="0" applyFont="1" applyBorder="1" applyAlignment="1">
      <alignment horizontal="center"/>
    </xf>
    <xf numFmtId="14" fontId="38" fillId="0" borderId="59" xfId="0" applyNumberFormat="1" applyFont="1" applyBorder="1" applyAlignment="1">
      <alignment horizontal="center"/>
    </xf>
    <xf numFmtId="0" fontId="83" fillId="0" borderId="59" xfId="0" applyFont="1" applyBorder="1" applyAlignment="1">
      <alignment horizontal="center"/>
    </xf>
    <xf numFmtId="14" fontId="83" fillId="0" borderId="59" xfId="0" applyNumberFormat="1" applyFont="1" applyBorder="1" applyAlignment="1">
      <alignment horizontal="center"/>
    </xf>
    <xf numFmtId="1" fontId="38" fillId="0" borderId="2" xfId="0" applyNumberFormat="1" applyFont="1" applyBorder="1" applyAlignment="1">
      <alignment horizontal="center"/>
    </xf>
    <xf numFmtId="0" fontId="38" fillId="0" borderId="2" xfId="0" applyFont="1" applyBorder="1" applyAlignment="1">
      <alignment horizontal="center"/>
    </xf>
    <xf numFmtId="14" fontId="38" fillId="0" borderId="2" xfId="0" applyNumberFormat="1" applyFont="1" applyBorder="1" applyAlignment="1">
      <alignment horizontal="center"/>
    </xf>
    <xf numFmtId="0" fontId="83" fillId="0" borderId="2" xfId="0" applyFont="1" applyBorder="1" applyAlignment="1">
      <alignment horizontal="center"/>
    </xf>
    <xf numFmtId="14" fontId="83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29" fillId="0" borderId="59" xfId="0" applyFont="1" applyBorder="1" applyAlignment="1">
      <alignment horizontal="center" vertical="center"/>
    </xf>
    <xf numFmtId="0" fontId="3" fillId="0" borderId="0" xfId="0" applyFont="1"/>
    <xf numFmtId="0" fontId="3" fillId="0" borderId="59" xfId="0" applyFont="1" applyBorder="1"/>
    <xf numFmtId="0" fontId="0" fillId="0" borderId="58" xfId="0" applyBorder="1" applyAlignment="1">
      <alignment horizontal="center"/>
    </xf>
    <xf numFmtId="0" fontId="3" fillId="0" borderId="59" xfId="0" applyFont="1" applyBorder="1" applyAlignment="1">
      <alignment horizontal="center"/>
    </xf>
    <xf numFmtId="0" fontId="0" fillId="3" borderId="59" xfId="0" applyFill="1" applyBorder="1" applyAlignment="1">
      <alignment horizontal="center" vertical="center"/>
    </xf>
    <xf numFmtId="14" fontId="0" fillId="3" borderId="59" xfId="0" applyNumberFormat="1" applyFill="1" applyBorder="1" applyAlignment="1">
      <alignment horizontal="center" vertical="center"/>
    </xf>
    <xf numFmtId="0" fontId="0" fillId="3" borderId="59" xfId="0" applyFill="1" applyBorder="1" applyAlignment="1">
      <alignment horizontal="center" vertical="center" wrapText="1"/>
    </xf>
    <xf numFmtId="14" fontId="0" fillId="3" borderId="59" xfId="0" applyNumberFormat="1" applyFill="1" applyBorder="1" applyAlignment="1">
      <alignment horizontal="center" vertical="center" wrapText="1"/>
    </xf>
    <xf numFmtId="14" fontId="0" fillId="0" borderId="59" xfId="0" applyNumberFormat="1" applyBorder="1" applyAlignment="1">
      <alignment horizontal="center" vertical="center"/>
    </xf>
    <xf numFmtId="49" fontId="0" fillId="0" borderId="59" xfId="0" applyNumberFormat="1" applyBorder="1" applyAlignment="1">
      <alignment horizontal="center"/>
    </xf>
    <xf numFmtId="168" fontId="0" fillId="3" borderId="59" xfId="0" applyNumberFormat="1" applyFill="1" applyBorder="1" applyAlignment="1">
      <alignment horizontal="center" vertical="center"/>
    </xf>
    <xf numFmtId="169" fontId="0" fillId="3" borderId="59" xfId="49" applyNumberFormat="1" applyFont="1" applyFill="1" applyBorder="1" applyAlignment="1">
      <alignment horizontal="center" vertical="center"/>
    </xf>
    <xf numFmtId="3" fontId="0" fillId="0" borderId="59" xfId="0" applyNumberFormat="1" applyBorder="1" applyAlignment="1">
      <alignment horizontal="center" vertical="center"/>
    </xf>
    <xf numFmtId="17" fontId="0" fillId="0" borderId="59" xfId="0" applyNumberFormat="1" applyBorder="1" applyAlignment="1">
      <alignment horizontal="center"/>
    </xf>
    <xf numFmtId="17" fontId="0" fillId="3" borderId="59" xfId="0" applyNumberFormat="1" applyFill="1" applyBorder="1" applyAlignment="1">
      <alignment horizontal="center" vertical="center"/>
    </xf>
    <xf numFmtId="17" fontId="0" fillId="0" borderId="59" xfId="0" applyNumberFormat="1" applyBorder="1" applyAlignment="1">
      <alignment horizontal="center" vertical="center"/>
    </xf>
    <xf numFmtId="0" fontId="68" fillId="53" borderId="14" xfId="0" applyFont="1" applyFill="1" applyBorder="1" applyAlignment="1">
      <alignment horizontal="left" vertical="center"/>
    </xf>
    <xf numFmtId="14" fontId="3" fillId="0" borderId="59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1" fillId="50" borderId="6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/>
    </xf>
    <xf numFmtId="0" fontId="3" fillId="0" borderId="59" xfId="0" applyFont="1" applyBorder="1" applyAlignment="1">
      <alignment horizontal="left"/>
    </xf>
    <xf numFmtId="0" fontId="6" fillId="0" borderId="0" xfId="0" applyFont="1" applyAlignment="1">
      <alignment horizontal="left"/>
    </xf>
    <xf numFmtId="14" fontId="0" fillId="0" borderId="59" xfId="0" applyNumberFormat="1" applyBorder="1"/>
    <xf numFmtId="14" fontId="0" fillId="0" borderId="59" xfId="0" applyNumberFormat="1" applyBorder="1" applyAlignment="1">
      <alignment horizontal="left"/>
    </xf>
    <xf numFmtId="0" fontId="3" fillId="3" borderId="2" xfId="0" applyFont="1" applyFill="1" applyBorder="1" applyAlignment="1">
      <alignment horizontal="center" vertical="center"/>
    </xf>
    <xf numFmtId="0" fontId="86" fillId="3" borderId="2" xfId="0" applyFont="1" applyFill="1" applyBorder="1" applyAlignment="1">
      <alignment horizontal="center" vertical="center"/>
    </xf>
    <xf numFmtId="14" fontId="3" fillId="3" borderId="2" xfId="0" applyNumberFormat="1" applyFont="1" applyFill="1" applyBorder="1" applyAlignment="1">
      <alignment horizontal="center" vertical="center"/>
    </xf>
    <xf numFmtId="17" fontId="3" fillId="3" borderId="2" xfId="0" applyNumberFormat="1" applyFont="1" applyFill="1" applyBorder="1" applyAlignment="1">
      <alignment horizontal="center" vertical="center"/>
    </xf>
    <xf numFmtId="0" fontId="3" fillId="3" borderId="59" xfId="0" applyFont="1" applyFill="1" applyBorder="1" applyAlignment="1">
      <alignment horizontal="center" vertical="center"/>
    </xf>
    <xf numFmtId="0" fontId="86" fillId="3" borderId="59" xfId="0" applyFont="1" applyFill="1" applyBorder="1" applyAlignment="1">
      <alignment horizontal="center" vertical="center"/>
    </xf>
    <xf numFmtId="14" fontId="3" fillId="3" borderId="59" xfId="0" applyNumberFormat="1" applyFont="1" applyFill="1" applyBorder="1" applyAlignment="1">
      <alignment horizontal="center" vertical="center"/>
    </xf>
    <xf numFmtId="0" fontId="38" fillId="3" borderId="59" xfId="0" applyFont="1" applyFill="1" applyBorder="1" applyAlignment="1">
      <alignment horizontal="center"/>
    </xf>
    <xf numFmtId="0" fontId="87" fillId="0" borderId="59" xfId="35" applyFont="1" applyBorder="1" applyAlignment="1">
      <alignment horizontal="center" vertical="center" wrapText="1"/>
    </xf>
    <xf numFmtId="165" fontId="87" fillId="0" borderId="59" xfId="35" applyNumberFormat="1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/>
    </xf>
    <xf numFmtId="2" fontId="0" fillId="30" borderId="59" xfId="0" applyNumberFormat="1" applyFill="1" applyBorder="1"/>
    <xf numFmtId="0" fontId="0" fillId="30" borderId="59" xfId="0" applyFill="1" applyBorder="1"/>
    <xf numFmtId="14" fontId="0" fillId="30" borderId="59" xfId="0" applyNumberFormat="1" applyFill="1" applyBorder="1"/>
    <xf numFmtId="0" fontId="83" fillId="0" borderId="0" xfId="0" applyFont="1" applyAlignment="1">
      <alignment horizontal="center"/>
    </xf>
    <xf numFmtId="1" fontId="0" fillId="0" borderId="59" xfId="0" applyNumberFormat="1" applyBorder="1" applyAlignment="1">
      <alignment horizontal="center"/>
    </xf>
    <xf numFmtId="0" fontId="59" fillId="53" borderId="47" xfId="0" applyFont="1" applyFill="1" applyBorder="1" applyAlignment="1">
      <alignment horizontal="center" vertical="center"/>
    </xf>
    <xf numFmtId="0" fontId="59" fillId="53" borderId="14" xfId="0" applyFont="1" applyFill="1" applyBorder="1" applyAlignment="1">
      <alignment horizontal="center" vertical="center"/>
    </xf>
    <xf numFmtId="0" fontId="45" fillId="53" borderId="14" xfId="0" applyFont="1" applyFill="1" applyBorder="1" applyAlignment="1">
      <alignment horizontal="center" vertical="center" wrapText="1"/>
    </xf>
    <xf numFmtId="0" fontId="59" fillId="53" borderId="14" xfId="0" applyFont="1" applyFill="1" applyBorder="1" applyAlignment="1">
      <alignment horizontal="center" vertical="center" wrapText="1"/>
    </xf>
    <xf numFmtId="0" fontId="59" fillId="53" borderId="14" xfId="0" applyFont="1" applyFill="1" applyBorder="1" applyAlignment="1">
      <alignment horizontal="center" vertical="center" textRotation="90"/>
    </xf>
    <xf numFmtId="0" fontId="59" fillId="53" borderId="54" xfId="0" applyFont="1" applyFill="1" applyBorder="1" applyAlignment="1">
      <alignment horizontal="center" vertical="center" wrapText="1"/>
    </xf>
    <xf numFmtId="0" fontId="45" fillId="53" borderId="47" xfId="0" applyFont="1" applyFill="1" applyBorder="1" applyAlignment="1">
      <alignment horizontal="center" vertical="center" wrapText="1"/>
    </xf>
    <xf numFmtId="0" fontId="45" fillId="53" borderId="14" xfId="0" applyFont="1" applyFill="1" applyBorder="1" applyAlignment="1">
      <alignment horizontal="center" vertical="center" textRotation="90"/>
    </xf>
    <xf numFmtId="0" fontId="45" fillId="53" borderId="14" xfId="0" applyFont="1" applyFill="1" applyBorder="1" applyAlignment="1">
      <alignment horizontal="center" vertical="center" textRotation="90" wrapText="1"/>
    </xf>
    <xf numFmtId="0" fontId="45" fillId="53" borderId="20" xfId="0" applyFont="1" applyFill="1" applyBorder="1" applyAlignment="1">
      <alignment horizontal="center" vertical="center" textRotation="90" wrapText="1"/>
    </xf>
    <xf numFmtId="0" fontId="59" fillId="53" borderId="51" xfId="0" applyFont="1" applyFill="1" applyBorder="1" applyAlignment="1">
      <alignment horizontal="center" vertical="center" wrapText="1"/>
    </xf>
    <xf numFmtId="0" fontId="59" fillId="53" borderId="20" xfId="0" applyFont="1" applyFill="1" applyBorder="1" applyAlignment="1">
      <alignment horizontal="center" vertical="center" wrapText="1"/>
    </xf>
    <xf numFmtId="1" fontId="3" fillId="3" borderId="2" xfId="0" applyNumberFormat="1" applyFont="1" applyFill="1" applyBorder="1" applyAlignment="1">
      <alignment horizontal="center"/>
    </xf>
    <xf numFmtId="0" fontId="83" fillId="3" borderId="2" xfId="0" applyFont="1" applyFill="1" applyBorder="1" applyAlignment="1">
      <alignment horizontal="center"/>
    </xf>
    <xf numFmtId="14" fontId="83" fillId="3" borderId="2" xfId="0" applyNumberFormat="1" applyFont="1" applyFill="1" applyBorder="1" applyAlignment="1">
      <alignment horizontal="center"/>
    </xf>
    <xf numFmtId="0" fontId="38" fillId="3" borderId="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/>
    </xf>
    <xf numFmtId="1" fontId="0" fillId="0" borderId="50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38" fillId="0" borderId="59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1" fontId="0" fillId="0" borderId="59" xfId="0" applyNumberFormat="1" applyBorder="1" applyAlignment="1">
      <alignment horizontal="left"/>
    </xf>
    <xf numFmtId="3" fontId="0" fillId="0" borderId="59" xfId="0" applyNumberFormat="1" applyBorder="1" applyAlignment="1">
      <alignment horizontal="center"/>
    </xf>
    <xf numFmtId="17" fontId="0" fillId="3" borderId="59" xfId="0" applyNumberFormat="1" applyFill="1" applyBorder="1" applyAlignment="1">
      <alignment horizontal="center" vertical="center" wrapText="1"/>
    </xf>
    <xf numFmtId="49" fontId="0" fillId="3" borderId="59" xfId="0" applyNumberFormat="1" applyFill="1" applyBorder="1" applyAlignment="1">
      <alignment horizontal="center" vertical="center" wrapText="1"/>
    </xf>
    <xf numFmtId="49" fontId="0" fillId="3" borderId="59" xfId="0" applyNumberFormat="1" applyFill="1" applyBorder="1" applyAlignment="1">
      <alignment horizontal="center" vertical="center"/>
    </xf>
    <xf numFmtId="49" fontId="0" fillId="0" borderId="59" xfId="0" applyNumberFormat="1" applyBorder="1" applyAlignment="1">
      <alignment horizontal="center" vertical="center"/>
    </xf>
    <xf numFmtId="1" fontId="0" fillId="0" borderId="59" xfId="49" applyNumberFormat="1" applyFont="1" applyBorder="1" applyAlignment="1">
      <alignment horizontal="left"/>
    </xf>
    <xf numFmtId="0" fontId="0" fillId="29" borderId="59" xfId="0" applyFill="1" applyBorder="1" applyAlignment="1">
      <alignment horizontal="left" vertical="center"/>
    </xf>
    <xf numFmtId="0" fontId="0" fillId="33" borderId="59" xfId="0" applyFill="1" applyBorder="1" applyAlignment="1">
      <alignment horizontal="left" vertical="center"/>
    </xf>
    <xf numFmtId="0" fontId="3" fillId="3" borderId="59" xfId="0" applyFont="1" applyFill="1" applyBorder="1" applyAlignment="1">
      <alignment horizontal="center"/>
    </xf>
    <xf numFmtId="14" fontId="3" fillId="3" borderId="59" xfId="0" applyNumberFormat="1" applyFont="1" applyFill="1" applyBorder="1" applyAlignment="1">
      <alignment horizontal="center"/>
    </xf>
    <xf numFmtId="0" fontId="0" fillId="3" borderId="59" xfId="0" applyFill="1" applyBorder="1" applyAlignment="1">
      <alignment horizontal="center"/>
    </xf>
    <xf numFmtId="14" fontId="0" fillId="3" borderId="59" xfId="0" applyNumberFormat="1" applyFill="1" applyBorder="1" applyAlignment="1">
      <alignment horizontal="center"/>
    </xf>
    <xf numFmtId="0" fontId="4" fillId="3" borderId="59" xfId="0" applyFont="1" applyFill="1" applyBorder="1" applyAlignment="1">
      <alignment horizontal="center"/>
    </xf>
    <xf numFmtId="0" fontId="4" fillId="3" borderId="59" xfId="0" applyFont="1" applyFill="1" applyBorder="1" applyAlignment="1">
      <alignment horizontal="center" vertical="center"/>
    </xf>
    <xf numFmtId="0" fontId="3" fillId="3" borderId="59" xfId="0" applyFont="1" applyFill="1" applyBorder="1"/>
    <xf numFmtId="0" fontId="4" fillId="0" borderId="59" xfId="0" applyFont="1" applyBorder="1" applyAlignment="1">
      <alignment horizontal="center"/>
    </xf>
    <xf numFmtId="0" fontId="4" fillId="0" borderId="59" xfId="0" applyFont="1" applyBorder="1" applyAlignment="1">
      <alignment horizontal="center" vertical="center"/>
    </xf>
    <xf numFmtId="0" fontId="3" fillId="0" borderId="59" xfId="0" applyFont="1" applyBorder="1" applyAlignment="1">
      <alignment horizontal="center" vertical="center"/>
    </xf>
    <xf numFmtId="14" fontId="3" fillId="0" borderId="59" xfId="0" applyNumberFormat="1" applyFont="1" applyBorder="1" applyAlignment="1">
      <alignment horizontal="center" vertical="center"/>
    </xf>
    <xf numFmtId="0" fontId="3" fillId="0" borderId="59" xfId="0" applyFont="1" applyBorder="1" applyAlignment="1">
      <alignment horizontal="right"/>
    </xf>
    <xf numFmtId="0" fontId="3" fillId="3" borderId="59" xfId="0" applyFont="1" applyFill="1" applyBorder="1" applyAlignment="1">
      <alignment horizontal="center" vertical="center" wrapText="1"/>
    </xf>
    <xf numFmtId="0" fontId="4" fillId="3" borderId="59" xfId="0" applyFont="1" applyFill="1" applyBorder="1" applyAlignment="1">
      <alignment horizontal="left"/>
    </xf>
    <xf numFmtId="0" fontId="3" fillId="0" borderId="57" xfId="0" applyFont="1" applyBorder="1"/>
    <xf numFmtId="0" fontId="3" fillId="0" borderId="57" xfId="0" applyFont="1" applyBorder="1" applyAlignment="1">
      <alignment horizontal="center"/>
    </xf>
    <xf numFmtId="0" fontId="3" fillId="0" borderId="57" xfId="0" applyFont="1" applyBorder="1" applyAlignment="1">
      <alignment horizontal="left"/>
    </xf>
    <xf numFmtId="14" fontId="3" fillId="3" borderId="57" xfId="0" applyNumberFormat="1" applyFont="1" applyFill="1" applyBorder="1" applyAlignment="1">
      <alignment horizontal="center" vertical="center"/>
    </xf>
    <xf numFmtId="0" fontId="1" fillId="3" borderId="59" xfId="0" applyFont="1" applyFill="1" applyBorder="1" applyAlignment="1">
      <alignment horizontal="center" vertical="center" wrapText="1"/>
    </xf>
    <xf numFmtId="17" fontId="1" fillId="3" borderId="59" xfId="0" applyNumberFormat="1" applyFont="1" applyFill="1" applyBorder="1" applyAlignment="1">
      <alignment horizontal="center" vertical="center"/>
    </xf>
    <xf numFmtId="0" fontId="3" fillId="31" borderId="59" xfId="0" applyFont="1" applyFill="1" applyBorder="1" applyAlignment="1">
      <alignment horizontal="center"/>
    </xf>
    <xf numFmtId="0" fontId="3" fillId="2" borderId="59" xfId="0" applyFont="1" applyFill="1" applyBorder="1" applyAlignment="1">
      <alignment horizontal="center"/>
    </xf>
    <xf numFmtId="0" fontId="3" fillId="4" borderId="59" xfId="0" applyFont="1" applyFill="1" applyBorder="1" applyAlignment="1">
      <alignment horizontal="center"/>
    </xf>
    <xf numFmtId="0" fontId="3" fillId="28" borderId="59" xfId="0" applyFont="1" applyFill="1" applyBorder="1" applyAlignment="1">
      <alignment horizontal="center"/>
    </xf>
    <xf numFmtId="0" fontId="3" fillId="0" borderId="59" xfId="0" applyFont="1" applyBorder="1" applyAlignment="1">
      <alignment horizontal="center" wrapText="1"/>
    </xf>
    <xf numFmtId="0" fontId="3" fillId="31" borderId="59" xfId="0" applyFont="1" applyFill="1" applyBorder="1" applyAlignment="1">
      <alignment horizontal="center" vertical="center"/>
    </xf>
    <xf numFmtId="0" fontId="3" fillId="2" borderId="59" xfId="0" applyFont="1" applyFill="1" applyBorder="1" applyAlignment="1">
      <alignment horizontal="center" vertical="center"/>
    </xf>
    <xf numFmtId="0" fontId="3" fillId="4" borderId="59" xfId="0" applyFont="1" applyFill="1" applyBorder="1" applyAlignment="1">
      <alignment horizontal="center" vertical="center"/>
    </xf>
    <xf numFmtId="0" fontId="3" fillId="28" borderId="59" xfId="0" applyFont="1" applyFill="1" applyBorder="1" applyAlignment="1">
      <alignment horizontal="center" vertical="center"/>
    </xf>
    <xf numFmtId="0" fontId="3" fillId="0" borderId="59" xfId="0" applyFont="1" applyBorder="1" applyAlignment="1">
      <alignment horizontal="center" vertical="center" wrapText="1"/>
    </xf>
    <xf numFmtId="165" fontId="3" fillId="0" borderId="59" xfId="0" applyNumberFormat="1" applyFont="1" applyBorder="1" applyAlignment="1">
      <alignment horizontal="center" vertical="center"/>
    </xf>
    <xf numFmtId="165" fontId="38" fillId="0" borderId="59" xfId="0" applyNumberFormat="1" applyFont="1" applyBorder="1" applyAlignment="1">
      <alignment horizontal="center" vertical="center"/>
    </xf>
    <xf numFmtId="0" fontId="38" fillId="31" borderId="59" xfId="0" applyFont="1" applyFill="1" applyBorder="1" applyAlignment="1">
      <alignment horizontal="center" vertical="center"/>
    </xf>
    <xf numFmtId="0" fontId="38" fillId="2" borderId="59" xfId="0" applyFont="1" applyFill="1" applyBorder="1" applyAlignment="1">
      <alignment horizontal="center" vertical="center"/>
    </xf>
    <xf numFmtId="0" fontId="38" fillId="4" borderId="59" xfId="0" applyFont="1" applyFill="1" applyBorder="1" applyAlignment="1">
      <alignment horizontal="center" vertical="center"/>
    </xf>
    <xf numFmtId="0" fontId="38" fillId="28" borderId="59" xfId="0" applyFont="1" applyFill="1" applyBorder="1" applyAlignment="1">
      <alignment horizontal="center" vertical="center"/>
    </xf>
    <xf numFmtId="0" fontId="38" fillId="0" borderId="59" xfId="0" applyFont="1" applyBorder="1" applyAlignment="1">
      <alignment horizontal="center" vertical="center" wrapText="1"/>
    </xf>
    <xf numFmtId="14" fontId="38" fillId="35" borderId="59" xfId="0" applyNumberFormat="1" applyFont="1" applyFill="1" applyBorder="1" applyAlignment="1">
      <alignment horizontal="center" vertical="center"/>
    </xf>
    <xf numFmtId="0" fontId="3" fillId="35" borderId="59" xfId="0" applyFont="1" applyFill="1" applyBorder="1" applyAlignment="1">
      <alignment horizontal="center" vertical="center"/>
    </xf>
    <xf numFmtId="0" fontId="3" fillId="41" borderId="59" xfId="0" applyFont="1" applyFill="1" applyBorder="1" applyAlignment="1">
      <alignment horizontal="center" vertical="center"/>
    </xf>
    <xf numFmtId="0" fontId="3" fillId="42" borderId="59" xfId="0" applyFont="1" applyFill="1" applyBorder="1" applyAlignment="1">
      <alignment horizontal="center" vertical="center"/>
    </xf>
    <xf numFmtId="0" fontId="3" fillId="43" borderId="59" xfId="0" applyFont="1" applyFill="1" applyBorder="1" applyAlignment="1">
      <alignment horizontal="center" vertical="center"/>
    </xf>
    <xf numFmtId="0" fontId="3" fillId="35" borderId="59" xfId="0" applyFont="1" applyFill="1" applyBorder="1" applyAlignment="1">
      <alignment horizontal="center" vertical="center" wrapText="1"/>
    </xf>
    <xf numFmtId="164" fontId="3" fillId="0" borderId="59" xfId="0" applyNumberFormat="1" applyFont="1" applyBorder="1" applyAlignment="1">
      <alignment horizontal="center" vertical="center"/>
    </xf>
    <xf numFmtId="166" fontId="3" fillId="0" borderId="59" xfId="0" applyNumberFormat="1" applyFont="1" applyBorder="1" applyAlignment="1">
      <alignment horizontal="center" vertical="center"/>
    </xf>
    <xf numFmtId="0" fontId="3" fillId="0" borderId="57" xfId="0" applyFont="1" applyBorder="1" applyAlignment="1">
      <alignment horizontal="center" vertical="center"/>
    </xf>
    <xf numFmtId="165" fontId="3" fillId="0" borderId="59" xfId="0" applyNumberFormat="1" applyFont="1" applyBorder="1" applyAlignment="1">
      <alignment horizontal="center"/>
    </xf>
    <xf numFmtId="14" fontId="38" fillId="0" borderId="59" xfId="0" applyNumberFormat="1" applyFont="1" applyBorder="1" applyAlignment="1">
      <alignment horizontal="center" vertical="center" wrapText="1"/>
    </xf>
    <xf numFmtId="0" fontId="38" fillId="0" borderId="59" xfId="0" applyFont="1" applyBorder="1" applyAlignment="1">
      <alignment horizontal="center" wrapText="1"/>
    </xf>
    <xf numFmtId="14" fontId="38" fillId="0" borderId="59" xfId="0" applyNumberFormat="1" applyFont="1" applyBorder="1" applyAlignment="1">
      <alignment horizontal="center" vertical="center"/>
    </xf>
    <xf numFmtId="14" fontId="39" fillId="0" borderId="59" xfId="0" applyNumberFormat="1" applyFont="1" applyBorder="1" applyAlignment="1">
      <alignment horizontal="center"/>
    </xf>
    <xf numFmtId="0" fontId="39" fillId="0" borderId="59" xfId="0" applyFont="1" applyBorder="1" applyAlignment="1">
      <alignment horizontal="center"/>
    </xf>
    <xf numFmtId="0" fontId="26" fillId="31" borderId="59" xfId="0" applyFont="1" applyFill="1" applyBorder="1" applyAlignment="1">
      <alignment horizontal="center"/>
    </xf>
    <xf numFmtId="0" fontId="26" fillId="2" borderId="59" xfId="0" applyFont="1" applyFill="1" applyBorder="1" applyAlignment="1">
      <alignment horizontal="center"/>
    </xf>
    <xf numFmtId="0" fontId="26" fillId="4" borderId="59" xfId="0" applyFont="1" applyFill="1" applyBorder="1" applyAlignment="1">
      <alignment horizontal="center"/>
    </xf>
    <xf numFmtId="0" fontId="26" fillId="28" borderId="59" xfId="0" applyFont="1" applyFill="1" applyBorder="1" applyAlignment="1">
      <alignment horizontal="center"/>
    </xf>
    <xf numFmtId="0" fontId="43" fillId="2" borderId="59" xfId="0" applyFont="1" applyFill="1" applyBorder="1" applyAlignment="1">
      <alignment horizontal="center"/>
    </xf>
    <xf numFmtId="0" fontId="43" fillId="4" borderId="59" xfId="0" applyFont="1" applyFill="1" applyBorder="1" applyAlignment="1">
      <alignment horizontal="center"/>
    </xf>
    <xf numFmtId="14" fontId="37" fillId="0" borderId="59" xfId="0" applyNumberFormat="1" applyFont="1" applyBorder="1" applyAlignment="1">
      <alignment horizontal="center" vertical="center"/>
    </xf>
    <xf numFmtId="0" fontId="37" fillId="0" borderId="59" xfId="0" applyFont="1" applyBorder="1" applyAlignment="1">
      <alignment horizontal="center" vertical="center"/>
    </xf>
    <xf numFmtId="0" fontId="37" fillId="31" borderId="59" xfId="0" applyFont="1" applyFill="1" applyBorder="1" applyAlignment="1">
      <alignment horizontal="center" vertical="center"/>
    </xf>
    <xf numFmtId="0" fontId="37" fillId="2" borderId="59" xfId="0" applyFont="1" applyFill="1" applyBorder="1" applyAlignment="1">
      <alignment horizontal="center" vertical="center"/>
    </xf>
    <xf numFmtId="0" fontId="37" fillId="4" borderId="59" xfId="0" applyFont="1" applyFill="1" applyBorder="1" applyAlignment="1">
      <alignment horizontal="center" vertical="center"/>
    </xf>
    <xf numFmtId="0" fontId="37" fillId="28" borderId="59" xfId="0" applyFont="1" applyFill="1" applyBorder="1" applyAlignment="1">
      <alignment horizontal="center" vertical="center"/>
    </xf>
    <xf numFmtId="0" fontId="31" fillId="0" borderId="59" xfId="0" applyFont="1" applyBorder="1" applyAlignment="1">
      <alignment horizontal="left" vertical="center"/>
    </xf>
    <xf numFmtId="0" fontId="31" fillId="0" borderId="59" xfId="0" applyFont="1" applyBorder="1" applyAlignment="1">
      <alignment vertical="justify"/>
    </xf>
    <xf numFmtId="0" fontId="31" fillId="0" borderId="59" xfId="0" applyFont="1" applyBorder="1" applyAlignment="1">
      <alignment horizontal="left" vertical="justify"/>
    </xf>
    <xf numFmtId="0" fontId="28" fillId="31" borderId="59" xfId="0" applyFont="1" applyFill="1" applyBorder="1"/>
    <xf numFmtId="0" fontId="28" fillId="2" borderId="59" xfId="0" applyFont="1" applyFill="1" applyBorder="1"/>
    <xf numFmtId="0" fontId="28" fillId="4" borderId="59" xfId="0" applyFont="1" applyFill="1" applyBorder="1"/>
    <xf numFmtId="0" fontId="28" fillId="28" borderId="59" xfId="0" applyFont="1" applyFill="1" applyBorder="1"/>
    <xf numFmtId="0" fontId="25" fillId="38" borderId="59" xfId="0" applyFont="1" applyFill="1" applyBorder="1" applyAlignment="1">
      <alignment horizontal="center"/>
    </xf>
    <xf numFmtId="0" fontId="57" fillId="50" borderId="59" xfId="0" applyFont="1" applyFill="1" applyBorder="1" applyAlignment="1">
      <alignment horizontal="right"/>
    </xf>
    <xf numFmtId="0" fontId="25" fillId="39" borderId="59" xfId="0" applyFont="1" applyFill="1" applyBorder="1" applyAlignment="1">
      <alignment horizontal="center" vertical="center" wrapText="1"/>
    </xf>
    <xf numFmtId="0" fontId="36" fillId="3" borderId="58" xfId="0" applyFont="1" applyFill="1" applyBorder="1" applyAlignment="1">
      <alignment horizontal="left"/>
    </xf>
    <xf numFmtId="0" fontId="36" fillId="0" borderId="59" xfId="0" applyFont="1" applyBorder="1" applyAlignment="1">
      <alignment horizontal="left"/>
    </xf>
    <xf numFmtId="14" fontId="36" fillId="0" borderId="59" xfId="0" applyNumberFormat="1" applyFont="1" applyBorder="1" applyAlignment="1">
      <alignment horizontal="left"/>
    </xf>
    <xf numFmtId="0" fontId="53" fillId="0" borderId="59" xfId="35" applyFont="1" applyBorder="1" applyAlignment="1">
      <alignment horizontal="left" vertical="center" wrapText="1"/>
    </xf>
    <xf numFmtId="0" fontId="36" fillId="0" borderId="59" xfId="0" applyFont="1" applyBorder="1" applyAlignment="1">
      <alignment horizontal="left" vertical="center" wrapText="1"/>
    </xf>
    <xf numFmtId="0" fontId="36" fillId="0" borderId="58" xfId="0" applyFont="1" applyBorder="1" applyAlignment="1">
      <alignment horizontal="left"/>
    </xf>
    <xf numFmtId="0" fontId="36" fillId="3" borderId="59" xfId="0" applyFont="1" applyFill="1" applyBorder="1" applyAlignment="1">
      <alignment horizontal="left"/>
    </xf>
    <xf numFmtId="17" fontId="36" fillId="3" borderId="59" xfId="0" applyNumberFormat="1" applyFont="1" applyFill="1" applyBorder="1" applyAlignment="1">
      <alignment horizontal="left"/>
    </xf>
    <xf numFmtId="17" fontId="36" fillId="0" borderId="59" xfId="0" applyNumberFormat="1" applyFont="1" applyBorder="1" applyAlignment="1">
      <alignment horizontal="left"/>
    </xf>
    <xf numFmtId="0" fontId="36" fillId="0" borderId="57" xfId="0" applyFont="1" applyBorder="1" applyAlignment="1">
      <alignment horizontal="left"/>
    </xf>
    <xf numFmtId="0" fontId="36" fillId="0" borderId="90" xfId="0" applyFont="1" applyBorder="1" applyAlignment="1">
      <alignment horizontal="left"/>
    </xf>
    <xf numFmtId="0" fontId="36" fillId="3" borderId="59" xfId="0" applyFont="1" applyFill="1" applyBorder="1" applyAlignment="1">
      <alignment horizontal="left" vertical="center" wrapText="1"/>
    </xf>
    <xf numFmtId="14" fontId="36" fillId="3" borderId="59" xfId="0" applyNumberFormat="1" applyFont="1" applyFill="1" applyBorder="1" applyAlignment="1">
      <alignment horizontal="left"/>
    </xf>
    <xf numFmtId="14" fontId="0" fillId="0" borderId="59" xfId="0" applyNumberFormat="1" applyBorder="1" applyAlignment="1">
      <alignment horizontal="left" vertical="top"/>
    </xf>
    <xf numFmtId="0" fontId="0" fillId="0" borderId="59" xfId="0" applyBorder="1" applyAlignment="1">
      <alignment horizontal="left" vertical="top"/>
    </xf>
    <xf numFmtId="0" fontId="25" fillId="0" borderId="59" xfId="0" applyFont="1" applyBorder="1" applyAlignment="1">
      <alignment horizontal="left"/>
    </xf>
    <xf numFmtId="0" fontId="46" fillId="0" borderId="59" xfId="35" applyFont="1" applyBorder="1" applyAlignment="1">
      <alignment horizontal="left" vertical="center" wrapText="1"/>
    </xf>
    <xf numFmtId="0" fontId="1" fillId="0" borderId="59" xfId="35" applyFont="1" applyBorder="1" applyAlignment="1">
      <alignment horizontal="left" vertical="center"/>
    </xf>
    <xf numFmtId="0" fontId="41" fillId="0" borderId="59" xfId="35" applyFont="1" applyBorder="1" applyAlignment="1">
      <alignment horizontal="left" vertical="center" wrapText="1"/>
    </xf>
    <xf numFmtId="167" fontId="1" fillId="0" borderId="59" xfId="35" applyNumberFormat="1" applyFont="1" applyBorder="1" applyAlignment="1">
      <alignment horizontal="left" vertical="center" wrapText="1"/>
    </xf>
    <xf numFmtId="0" fontId="0" fillId="0" borderId="19" xfId="0" applyBorder="1" applyAlignment="1">
      <alignment horizontal="center" vertical="justify"/>
    </xf>
    <xf numFmtId="0" fontId="0" fillId="0" borderId="21" xfId="0" applyBorder="1" applyAlignment="1">
      <alignment horizontal="center" vertical="justify"/>
    </xf>
    <xf numFmtId="0" fontId="0" fillId="0" borderId="22" xfId="0" applyBorder="1" applyAlignment="1">
      <alignment horizontal="center" vertical="justify"/>
    </xf>
    <xf numFmtId="0" fontId="0" fillId="0" borderId="42" xfId="0" applyBorder="1" applyAlignment="1">
      <alignment horizontal="center" vertical="justify"/>
    </xf>
    <xf numFmtId="0" fontId="0" fillId="0" borderId="43" xfId="0" applyBorder="1" applyAlignment="1">
      <alignment horizontal="center" vertical="justify"/>
    </xf>
    <xf numFmtId="0" fontId="0" fillId="0" borderId="44" xfId="0" applyBorder="1" applyAlignment="1">
      <alignment horizontal="center" vertical="justify"/>
    </xf>
    <xf numFmtId="0" fontId="4" fillId="30" borderId="19" xfId="0" applyFont="1" applyFill="1" applyBorder="1" applyAlignment="1">
      <alignment vertical="justify"/>
    </xf>
    <xf numFmtId="0" fontId="4" fillId="30" borderId="21" xfId="0" applyFont="1" applyFill="1" applyBorder="1" applyAlignment="1">
      <alignment vertical="justify"/>
    </xf>
    <xf numFmtId="0" fontId="4" fillId="30" borderId="22" xfId="0" applyFont="1" applyFill="1" applyBorder="1" applyAlignment="1">
      <alignment vertical="justify"/>
    </xf>
    <xf numFmtId="0" fontId="4" fillId="30" borderId="41" xfId="0" applyFont="1" applyFill="1" applyBorder="1" applyAlignment="1">
      <alignment vertical="justify"/>
    </xf>
    <xf numFmtId="0" fontId="4" fillId="30" borderId="0" xfId="0" applyFont="1" applyFill="1" applyAlignment="1">
      <alignment vertical="justify"/>
    </xf>
    <xf numFmtId="0" fontId="4" fillId="30" borderId="29" xfId="0" applyFont="1" applyFill="1" applyBorder="1" applyAlignment="1">
      <alignment vertical="justify"/>
    </xf>
    <xf numFmtId="0" fontId="4" fillId="30" borderId="42" xfId="0" applyFont="1" applyFill="1" applyBorder="1" applyAlignment="1">
      <alignment vertical="justify"/>
    </xf>
    <xf numFmtId="0" fontId="4" fillId="30" borderId="43" xfId="0" applyFont="1" applyFill="1" applyBorder="1" applyAlignment="1">
      <alignment vertical="justify"/>
    </xf>
    <xf numFmtId="0" fontId="4" fillId="30" borderId="44" xfId="0" applyFont="1" applyFill="1" applyBorder="1" applyAlignment="1">
      <alignment vertical="justify"/>
    </xf>
    <xf numFmtId="0" fontId="27" fillId="0" borderId="7" xfId="0" applyFont="1" applyBorder="1" applyAlignment="1">
      <alignment horizontal="center" vertical="justify"/>
    </xf>
    <xf numFmtId="0" fontId="27" fillId="0" borderId="4" xfId="0" applyFont="1" applyBorder="1" applyAlignment="1">
      <alignment horizontal="center" vertical="justify"/>
    </xf>
    <xf numFmtId="0" fontId="27" fillId="0" borderId="45" xfId="0" applyFont="1" applyBorder="1" applyAlignment="1">
      <alignment horizontal="center" vertical="justify"/>
    </xf>
    <xf numFmtId="0" fontId="27" fillId="0" borderId="48" xfId="0" applyFont="1" applyBorder="1" applyAlignment="1">
      <alignment horizontal="center" vertical="justify"/>
    </xf>
    <xf numFmtId="0" fontId="27" fillId="0" borderId="59" xfId="0" applyFont="1" applyBorder="1" applyAlignment="1">
      <alignment horizontal="center" vertical="justify"/>
    </xf>
    <xf numFmtId="0" fontId="27" fillId="0" borderId="56" xfId="0" applyFont="1" applyBorder="1" applyAlignment="1">
      <alignment horizontal="center" vertical="justify"/>
    </xf>
    <xf numFmtId="0" fontId="27" fillId="0" borderId="8" xfId="0" applyFont="1" applyBorder="1" applyAlignment="1">
      <alignment horizontal="center" vertical="justify"/>
    </xf>
    <xf numFmtId="0" fontId="27" fillId="0" borderId="5" xfId="0" applyFont="1" applyBorder="1" applyAlignment="1">
      <alignment horizontal="center" vertical="justify"/>
    </xf>
    <xf numFmtId="0" fontId="27" fillId="0" borderId="6" xfId="0" applyFont="1" applyBorder="1" applyAlignment="1">
      <alignment horizontal="center" vertical="justify"/>
    </xf>
    <xf numFmtId="0" fontId="0" fillId="32" borderId="15" xfId="0" applyFill="1" applyBorder="1" applyAlignment="1">
      <alignment horizontal="center"/>
    </xf>
    <xf numFmtId="0" fontId="0" fillId="32" borderId="16" xfId="0" applyFill="1" applyBorder="1" applyAlignment="1">
      <alignment horizontal="center"/>
    </xf>
    <xf numFmtId="0" fontId="0" fillId="32" borderId="17" xfId="0" applyFill="1" applyBorder="1" applyAlignment="1">
      <alignment horizontal="center"/>
    </xf>
    <xf numFmtId="0" fontId="4" fillId="0" borderId="19" xfId="0" applyFont="1" applyBorder="1" applyAlignment="1">
      <alignment horizontal="center" vertical="justify"/>
    </xf>
    <xf numFmtId="0" fontId="4" fillId="0" borderId="21" xfId="0" applyFont="1" applyBorder="1" applyAlignment="1">
      <alignment horizontal="center" vertical="justify"/>
    </xf>
    <xf numFmtId="0" fontId="4" fillId="0" borderId="22" xfId="0" applyFont="1" applyBorder="1" applyAlignment="1">
      <alignment horizontal="center" vertical="justify"/>
    </xf>
    <xf numFmtId="0" fontId="4" fillId="0" borderId="42" xfId="0" applyFont="1" applyBorder="1" applyAlignment="1">
      <alignment horizontal="center" vertical="justify"/>
    </xf>
    <xf numFmtId="0" fontId="4" fillId="0" borderId="43" xfId="0" applyFont="1" applyBorder="1" applyAlignment="1">
      <alignment horizontal="center" vertical="justify"/>
    </xf>
    <xf numFmtId="0" fontId="4" fillId="0" borderId="44" xfId="0" applyFont="1" applyBorder="1" applyAlignment="1">
      <alignment horizontal="center" vertical="justify"/>
    </xf>
    <xf numFmtId="0" fontId="4" fillId="34" borderId="19" xfId="0" applyFont="1" applyFill="1" applyBorder="1" applyAlignment="1">
      <alignment horizontal="center" vertical="justify" readingOrder="1"/>
    </xf>
    <xf numFmtId="0" fontId="4" fillId="34" borderId="21" xfId="0" applyFont="1" applyFill="1" applyBorder="1" applyAlignment="1">
      <alignment horizontal="center" vertical="justify" readingOrder="1"/>
    </xf>
    <xf numFmtId="0" fontId="4" fillId="34" borderId="22" xfId="0" applyFont="1" applyFill="1" applyBorder="1" applyAlignment="1">
      <alignment horizontal="center" vertical="justify" readingOrder="1"/>
    </xf>
    <xf numFmtId="0" fontId="4" fillId="34" borderId="42" xfId="0" applyFont="1" applyFill="1" applyBorder="1" applyAlignment="1">
      <alignment horizontal="center" vertical="justify" readingOrder="1"/>
    </xf>
    <xf numFmtId="0" fontId="4" fillId="34" borderId="43" xfId="0" applyFont="1" applyFill="1" applyBorder="1" applyAlignment="1">
      <alignment horizontal="center" vertical="justify" readingOrder="1"/>
    </xf>
    <xf numFmtId="0" fontId="4" fillId="34" borderId="44" xfId="0" applyFont="1" applyFill="1" applyBorder="1" applyAlignment="1">
      <alignment horizontal="center" vertical="justify" readingOrder="1"/>
    </xf>
    <xf numFmtId="0" fontId="0" fillId="33" borderId="19" xfId="0" applyFill="1" applyBorder="1" applyAlignment="1">
      <alignment horizontal="center" vertical="justify" readingOrder="1"/>
    </xf>
    <xf numFmtId="0" fontId="0" fillId="33" borderId="21" xfId="0" applyFill="1" applyBorder="1" applyAlignment="1">
      <alignment horizontal="center" vertical="justify" readingOrder="1"/>
    </xf>
    <xf numFmtId="0" fontId="0" fillId="33" borderId="16" xfId="0" applyFill="1" applyBorder="1" applyAlignment="1">
      <alignment horizontal="center" vertical="justify" readingOrder="1"/>
    </xf>
    <xf numFmtId="0" fontId="0" fillId="33" borderId="22" xfId="0" applyFill="1" applyBorder="1" applyAlignment="1">
      <alignment horizontal="center" vertical="justify" readingOrder="1"/>
    </xf>
    <xf numFmtId="0" fontId="0" fillId="0" borderId="59" xfId="0" applyBorder="1" applyAlignment="1">
      <alignment horizontal="center" vertical="justify"/>
    </xf>
    <xf numFmtId="0" fontId="27" fillId="0" borderId="10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27" fillId="0" borderId="13" xfId="0" applyFont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55" fillId="32" borderId="0" xfId="0" applyFont="1" applyFill="1" applyAlignment="1">
      <alignment horizontal="center"/>
    </xf>
    <xf numFmtId="0" fontId="55" fillId="58" borderId="0" xfId="0" applyFont="1" applyFill="1" applyAlignment="1">
      <alignment horizontal="center"/>
    </xf>
    <xf numFmtId="0" fontId="55" fillId="57" borderId="0" xfId="0" applyFont="1" applyFill="1" applyAlignment="1">
      <alignment horizontal="center"/>
    </xf>
    <xf numFmtId="0" fontId="36" fillId="30" borderId="0" xfId="0" applyFont="1" applyFill="1" applyAlignment="1">
      <alignment horizontal="center"/>
    </xf>
    <xf numFmtId="0" fontId="55" fillId="59" borderId="0" xfId="0" applyFont="1" applyFill="1" applyAlignment="1">
      <alignment horizontal="center"/>
    </xf>
    <xf numFmtId="0" fontId="77" fillId="0" borderId="0" xfId="0" applyFont="1" applyAlignment="1">
      <alignment horizontal="center" vertical="center"/>
    </xf>
    <xf numFmtId="0" fontId="78" fillId="61" borderId="0" xfId="0" applyFont="1" applyFill="1" applyAlignment="1">
      <alignment horizontal="left" vertical="center"/>
    </xf>
    <xf numFmtId="0" fontId="84" fillId="62" borderId="3" xfId="0" applyFont="1" applyFill="1" applyBorder="1" applyAlignment="1">
      <alignment horizontal="center" vertical="center" textRotation="90"/>
    </xf>
    <xf numFmtId="0" fontId="84" fillId="62" borderId="2" xfId="0" applyFont="1" applyFill="1" applyBorder="1" applyAlignment="1">
      <alignment horizontal="center" vertical="center" textRotation="90"/>
    </xf>
    <xf numFmtId="0" fontId="45" fillId="30" borderId="47" xfId="0" applyFont="1" applyFill="1" applyBorder="1" applyAlignment="1">
      <alignment horizontal="center" vertical="center" wrapText="1"/>
    </xf>
    <xf numFmtId="0" fontId="45" fillId="30" borderId="14" xfId="0" applyFont="1" applyFill="1" applyBorder="1" applyAlignment="1">
      <alignment horizontal="center" vertical="center" wrapText="1"/>
    </xf>
    <xf numFmtId="0" fontId="45" fillId="30" borderId="20" xfId="0" applyFont="1" applyFill="1" applyBorder="1" applyAlignment="1">
      <alignment horizontal="center" vertical="center" wrapText="1"/>
    </xf>
    <xf numFmtId="0" fontId="45" fillId="49" borderId="47" xfId="0" applyFont="1" applyFill="1" applyBorder="1" applyAlignment="1">
      <alignment horizontal="center" vertical="center" wrapText="1"/>
    </xf>
    <xf numFmtId="0" fontId="45" fillId="49" borderId="20" xfId="0" applyFont="1" applyFill="1" applyBorder="1" applyAlignment="1">
      <alignment horizontal="center" vertical="center" wrapText="1"/>
    </xf>
    <xf numFmtId="0" fontId="62" fillId="53" borderId="10" xfId="0" applyFont="1" applyFill="1" applyBorder="1" applyAlignment="1">
      <alignment horizontal="center" vertical="center" wrapText="1"/>
    </xf>
    <xf numFmtId="0" fontId="62" fillId="53" borderId="11" xfId="0" applyFont="1" applyFill="1" applyBorder="1" applyAlignment="1">
      <alignment horizontal="center" vertical="center" wrapText="1"/>
    </xf>
    <xf numFmtId="0" fontId="62" fillId="53" borderId="13" xfId="0" applyFont="1" applyFill="1" applyBorder="1" applyAlignment="1">
      <alignment horizontal="center" vertical="center" wrapText="1"/>
    </xf>
    <xf numFmtId="0" fontId="59" fillId="53" borderId="10" xfId="0" applyFont="1" applyFill="1" applyBorder="1" applyAlignment="1">
      <alignment horizontal="center" vertical="center" wrapText="1"/>
    </xf>
    <xf numFmtId="0" fontId="59" fillId="53" borderId="11" xfId="0" applyFont="1" applyFill="1" applyBorder="1" applyAlignment="1">
      <alignment horizontal="center" vertical="center" wrapText="1"/>
    </xf>
    <xf numFmtId="0" fontId="59" fillId="53" borderId="13" xfId="0" applyFont="1" applyFill="1" applyBorder="1" applyAlignment="1">
      <alignment horizontal="center" vertical="center" wrapText="1"/>
    </xf>
    <xf numFmtId="0" fontId="56" fillId="46" borderId="47" xfId="0" applyFont="1" applyFill="1" applyBorder="1" applyAlignment="1">
      <alignment horizontal="center" vertical="center" wrapText="1"/>
    </xf>
    <xf numFmtId="0" fontId="56" fillId="46" borderId="14" xfId="0" applyFont="1" applyFill="1" applyBorder="1" applyAlignment="1">
      <alignment horizontal="center" vertical="center" wrapText="1"/>
    </xf>
    <xf numFmtId="0" fontId="56" fillId="46" borderId="54" xfId="0" applyFont="1" applyFill="1" applyBorder="1" applyAlignment="1">
      <alignment horizontal="center" vertical="center" wrapText="1"/>
    </xf>
    <xf numFmtId="0" fontId="56" fillId="46" borderId="20" xfId="0" applyFont="1" applyFill="1" applyBorder="1" applyAlignment="1">
      <alignment horizontal="center" vertical="center" wrapText="1"/>
    </xf>
    <xf numFmtId="0" fontId="56" fillId="32" borderId="47" xfId="0" applyFont="1" applyFill="1" applyBorder="1" applyAlignment="1">
      <alignment horizontal="center" vertical="center" wrapText="1"/>
    </xf>
    <xf numFmtId="0" fontId="56" fillId="32" borderId="14" xfId="0" applyFont="1" applyFill="1" applyBorder="1" applyAlignment="1">
      <alignment horizontal="center" vertical="center" wrapText="1"/>
    </xf>
    <xf numFmtId="0" fontId="56" fillId="32" borderId="20" xfId="0" applyFont="1" applyFill="1" applyBorder="1" applyAlignment="1">
      <alignment horizontal="center" vertical="center" wrapText="1"/>
    </xf>
    <xf numFmtId="0" fontId="56" fillId="47" borderId="47" xfId="0" applyFont="1" applyFill="1" applyBorder="1" applyAlignment="1">
      <alignment horizontal="center" vertical="center"/>
    </xf>
    <xf numFmtId="0" fontId="56" fillId="47" borderId="14" xfId="0" applyFont="1" applyFill="1" applyBorder="1" applyAlignment="1">
      <alignment horizontal="center" vertical="center"/>
    </xf>
    <xf numFmtId="0" fontId="56" fillId="47" borderId="20" xfId="0" applyFont="1" applyFill="1" applyBorder="1" applyAlignment="1">
      <alignment horizontal="center" vertical="center"/>
    </xf>
    <xf numFmtId="0" fontId="56" fillId="48" borderId="47" xfId="0" applyFont="1" applyFill="1" applyBorder="1" applyAlignment="1">
      <alignment horizontal="center" vertical="center" wrapText="1"/>
    </xf>
    <xf numFmtId="0" fontId="56" fillId="48" borderId="20" xfId="0" applyFont="1" applyFill="1" applyBorder="1" applyAlignment="1">
      <alignment horizontal="center" vertical="center" wrapText="1"/>
    </xf>
    <xf numFmtId="0" fontId="25" fillId="53" borderId="15" xfId="0" applyFont="1" applyFill="1" applyBorder="1" applyAlignment="1">
      <alignment horizontal="center" vertical="center"/>
    </xf>
    <xf numFmtId="0" fontId="25" fillId="53" borderId="17" xfId="0" applyFont="1" applyFill="1" applyBorder="1" applyAlignment="1">
      <alignment horizontal="center" vertical="center"/>
    </xf>
    <xf numFmtId="0" fontId="85" fillId="62" borderId="57" xfId="0" applyFont="1" applyFill="1" applyBorder="1" applyAlignment="1">
      <alignment horizontal="center" vertical="center" textRotation="90"/>
    </xf>
    <xf numFmtId="0" fontId="85" fillId="62" borderId="3" xfId="0" applyFont="1" applyFill="1" applyBorder="1" applyAlignment="1">
      <alignment horizontal="center" vertical="center" textRotation="90"/>
    </xf>
    <xf numFmtId="0" fontId="85" fillId="62" borderId="2" xfId="0" applyFont="1" applyFill="1" applyBorder="1" applyAlignment="1">
      <alignment horizontal="center" vertical="center" textRotation="90"/>
    </xf>
    <xf numFmtId="0" fontId="2" fillId="40" borderId="15" xfId="0" applyFont="1" applyFill="1" applyBorder="1" applyAlignment="1">
      <alignment horizontal="center" vertical="center"/>
    </xf>
    <xf numFmtId="0" fontId="2" fillId="40" borderId="16" xfId="0" applyFont="1" applyFill="1" applyBorder="1" applyAlignment="1">
      <alignment horizontal="center" vertical="center"/>
    </xf>
    <xf numFmtId="0" fontId="2" fillId="40" borderId="17" xfId="0" applyFont="1" applyFill="1" applyBorder="1" applyAlignment="1">
      <alignment horizontal="center" vertical="center"/>
    </xf>
    <xf numFmtId="0" fontId="2" fillId="49" borderId="15" xfId="0" applyFont="1" applyFill="1" applyBorder="1" applyAlignment="1">
      <alignment horizontal="center" vertical="center"/>
    </xf>
    <xf numFmtId="0" fontId="2" fillId="49" borderId="16" xfId="0" applyFont="1" applyFill="1" applyBorder="1" applyAlignment="1">
      <alignment horizontal="center" vertical="center"/>
    </xf>
    <xf numFmtId="0" fontId="2" fillId="49" borderId="17" xfId="0" applyFont="1" applyFill="1" applyBorder="1" applyAlignment="1">
      <alignment horizontal="center" vertical="center"/>
    </xf>
    <xf numFmtId="0" fontId="2" fillId="45" borderId="15" xfId="0" applyFont="1" applyFill="1" applyBorder="1" applyAlignment="1">
      <alignment horizontal="center" vertical="center" wrapText="1"/>
    </xf>
    <xf numFmtId="0" fontId="2" fillId="45" borderId="16" xfId="0" applyFont="1" applyFill="1" applyBorder="1" applyAlignment="1">
      <alignment horizontal="center" vertical="center" wrapText="1"/>
    </xf>
    <xf numFmtId="0" fontId="2" fillId="45" borderId="17" xfId="0" applyFont="1" applyFill="1" applyBorder="1" applyAlignment="1">
      <alignment horizontal="center" vertical="center" wrapText="1"/>
    </xf>
    <xf numFmtId="0" fontId="89" fillId="62" borderId="3" xfId="0" applyFont="1" applyFill="1" applyBorder="1" applyAlignment="1">
      <alignment horizontal="center" vertical="center" textRotation="90"/>
    </xf>
    <xf numFmtId="0" fontId="89" fillId="62" borderId="2" xfId="0" applyFont="1" applyFill="1" applyBorder="1" applyAlignment="1">
      <alignment horizontal="center" vertical="center" textRotation="90"/>
    </xf>
    <xf numFmtId="0" fontId="69" fillId="0" borderId="0" xfId="0" applyFont="1" applyAlignment="1">
      <alignment horizontal="center"/>
    </xf>
    <xf numFmtId="0" fontId="61" fillId="50" borderId="47" xfId="0" applyFont="1" applyFill="1" applyBorder="1" applyAlignment="1">
      <alignment horizontal="center"/>
    </xf>
    <xf numFmtId="0" fontId="61" fillId="50" borderId="20" xfId="0" applyFont="1" applyFill="1" applyBorder="1" applyAlignment="1">
      <alignment horizontal="center"/>
    </xf>
    <xf numFmtId="0" fontId="3" fillId="30" borderId="15" xfId="0" applyFont="1" applyFill="1" applyBorder="1" applyAlignment="1">
      <alignment horizontal="center" vertical="center" wrapText="1"/>
    </xf>
    <xf numFmtId="0" fontId="3" fillId="30" borderId="16" xfId="0" applyFont="1" applyFill="1" applyBorder="1" applyAlignment="1">
      <alignment horizontal="center" vertical="center" wrapText="1"/>
    </xf>
    <xf numFmtId="0" fontId="3" fillId="30" borderId="17" xfId="0" applyFont="1" applyFill="1" applyBorder="1" applyAlignment="1">
      <alignment horizontal="center" vertical="center" wrapText="1"/>
    </xf>
    <xf numFmtId="0" fontId="61" fillId="50" borderId="7" xfId="0" applyFont="1" applyFill="1" applyBorder="1" applyAlignment="1">
      <alignment horizontal="center" vertical="center"/>
    </xf>
    <xf numFmtId="0" fontId="61" fillId="50" borderId="71" xfId="0" applyFont="1" applyFill="1" applyBorder="1" applyAlignment="1">
      <alignment horizontal="center" vertical="center"/>
    </xf>
    <xf numFmtId="0" fontId="61" fillId="50" borderId="4" xfId="0" applyFont="1" applyFill="1" applyBorder="1" applyAlignment="1">
      <alignment horizontal="center" vertical="center"/>
    </xf>
    <xf numFmtId="0" fontId="61" fillId="50" borderId="57" xfId="0" applyFont="1" applyFill="1" applyBorder="1" applyAlignment="1">
      <alignment horizontal="center" vertical="center"/>
    </xf>
    <xf numFmtId="0" fontId="56" fillId="50" borderId="4" xfId="0" applyFont="1" applyFill="1" applyBorder="1" applyAlignment="1">
      <alignment horizontal="center" vertical="center" wrapText="1"/>
    </xf>
    <xf numFmtId="0" fontId="56" fillId="50" borderId="57" xfId="0" applyFont="1" applyFill="1" applyBorder="1" applyAlignment="1">
      <alignment horizontal="center" vertical="center" wrapText="1"/>
    </xf>
    <xf numFmtId="0" fontId="61" fillId="50" borderId="4" xfId="0" applyFont="1" applyFill="1" applyBorder="1" applyAlignment="1">
      <alignment horizontal="center" vertical="center" wrapText="1"/>
    </xf>
    <xf numFmtId="0" fontId="61" fillId="50" borderId="57" xfId="0" applyFont="1" applyFill="1" applyBorder="1" applyAlignment="1">
      <alignment horizontal="center" vertical="center" wrapText="1"/>
    </xf>
    <xf numFmtId="0" fontId="61" fillId="50" borderId="45" xfId="0" applyFont="1" applyFill="1" applyBorder="1" applyAlignment="1">
      <alignment horizontal="center" vertical="center"/>
    </xf>
    <xf numFmtId="0" fontId="61" fillId="50" borderId="72" xfId="0" applyFont="1" applyFill="1" applyBorder="1" applyAlignment="1">
      <alignment horizontal="center" vertical="center"/>
    </xf>
    <xf numFmtId="0" fontId="67" fillId="50" borderId="4" xfId="0" applyFont="1" applyFill="1" applyBorder="1" applyAlignment="1">
      <alignment horizontal="center"/>
    </xf>
    <xf numFmtId="0" fontId="61" fillId="50" borderId="45" xfId="0" applyFont="1" applyFill="1" applyBorder="1" applyAlignment="1">
      <alignment horizontal="center" vertical="center" wrapText="1"/>
    </xf>
    <xf numFmtId="0" fontId="61" fillId="50" borderId="72" xfId="0" applyFont="1" applyFill="1" applyBorder="1" applyAlignment="1">
      <alignment horizontal="center" vertical="center" wrapText="1"/>
    </xf>
    <xf numFmtId="0" fontId="56" fillId="50" borderId="7" xfId="0" applyFont="1" applyFill="1" applyBorder="1" applyAlignment="1">
      <alignment horizontal="center" vertical="center"/>
    </xf>
    <xf numFmtId="0" fontId="56" fillId="50" borderId="71" xfId="0" applyFont="1" applyFill="1" applyBorder="1" applyAlignment="1">
      <alignment horizontal="center" vertical="center"/>
    </xf>
    <xf numFmtId="0" fontId="56" fillId="50" borderId="4" xfId="0" applyFont="1" applyFill="1" applyBorder="1" applyAlignment="1">
      <alignment horizontal="center" vertical="center"/>
    </xf>
    <xf numFmtId="0" fontId="56" fillId="50" borderId="57" xfId="0" applyFont="1" applyFill="1" applyBorder="1" applyAlignment="1">
      <alignment horizontal="center" vertical="center"/>
    </xf>
    <xf numFmtId="0" fontId="55" fillId="50" borderId="4" xfId="0" applyFont="1" applyFill="1" applyBorder="1" applyAlignment="1">
      <alignment horizontal="center"/>
    </xf>
    <xf numFmtId="0" fontId="56" fillId="50" borderId="45" xfId="0" applyFont="1" applyFill="1" applyBorder="1" applyAlignment="1">
      <alignment horizontal="center" vertical="center" wrapText="1"/>
    </xf>
    <xf numFmtId="0" fontId="56" fillId="50" borderId="72" xfId="0" applyFont="1" applyFill="1" applyBorder="1" applyAlignment="1">
      <alignment horizontal="center" vertical="center" wrapText="1"/>
    </xf>
    <xf numFmtId="0" fontId="56" fillId="50" borderId="14" xfId="0" applyFont="1" applyFill="1" applyBorder="1" applyAlignment="1">
      <alignment horizontal="center" vertical="center" wrapText="1"/>
    </xf>
    <xf numFmtId="0" fontId="56" fillId="50" borderId="3" xfId="0" applyFont="1" applyFill="1" applyBorder="1" applyAlignment="1">
      <alignment horizontal="center" vertical="center" wrapText="1"/>
    </xf>
    <xf numFmtId="0" fontId="56" fillId="50" borderId="4" xfId="0" applyFont="1" applyFill="1" applyBorder="1" applyAlignment="1">
      <alignment horizontal="center" wrapText="1"/>
    </xf>
    <xf numFmtId="0" fontId="56" fillId="50" borderId="4" xfId="0" applyFont="1" applyFill="1" applyBorder="1" applyAlignment="1">
      <alignment horizontal="center" vertical="center" textRotation="90" wrapText="1"/>
    </xf>
    <xf numFmtId="0" fontId="56" fillId="50" borderId="57" xfId="0" applyFont="1" applyFill="1" applyBorder="1" applyAlignment="1">
      <alignment horizontal="center" vertical="center" textRotation="90" wrapText="1"/>
    </xf>
    <xf numFmtId="0" fontId="61" fillId="60" borderId="14" xfId="0" applyFont="1" applyFill="1" applyBorder="1" applyAlignment="1">
      <alignment horizontal="center" vertical="center" wrapText="1"/>
    </xf>
    <xf numFmtId="0" fontId="61" fillId="60" borderId="3" xfId="0" applyFont="1" applyFill="1" applyBorder="1" applyAlignment="1">
      <alignment horizontal="center" vertical="center" wrapText="1"/>
    </xf>
    <xf numFmtId="0" fontId="61" fillId="60" borderId="4" xfId="0" applyFont="1" applyFill="1" applyBorder="1" applyAlignment="1">
      <alignment horizontal="center" vertical="center" wrapText="1"/>
    </xf>
    <xf numFmtId="0" fontId="61" fillId="60" borderId="57" xfId="0" applyFont="1" applyFill="1" applyBorder="1" applyAlignment="1">
      <alignment horizontal="center" vertical="center" wrapText="1"/>
    </xf>
    <xf numFmtId="0" fontId="61" fillId="60" borderId="76" xfId="0" applyFont="1" applyFill="1" applyBorder="1" applyAlignment="1">
      <alignment horizontal="center" vertical="center"/>
    </xf>
    <xf numFmtId="0" fontId="61" fillId="60" borderId="81" xfId="0" applyFont="1" applyFill="1" applyBorder="1" applyAlignment="1">
      <alignment horizontal="center" vertical="center"/>
    </xf>
    <xf numFmtId="0" fontId="61" fillId="60" borderId="19" xfId="0" applyFont="1" applyFill="1" applyBorder="1" applyAlignment="1">
      <alignment horizontal="center" vertical="center" wrapText="1"/>
    </xf>
    <xf numFmtId="0" fontId="61" fillId="60" borderId="78" xfId="0" applyFont="1" applyFill="1" applyBorder="1" applyAlignment="1">
      <alignment horizontal="center" vertical="center" wrapText="1"/>
    </xf>
    <xf numFmtId="0" fontId="61" fillId="60" borderId="15" xfId="0" applyFont="1" applyFill="1" applyBorder="1" applyAlignment="1">
      <alignment horizontal="center" vertical="center" wrapText="1"/>
    </xf>
    <xf numFmtId="0" fontId="61" fillId="60" borderId="16" xfId="0" applyFont="1" applyFill="1" applyBorder="1" applyAlignment="1">
      <alignment horizontal="center" vertical="center" wrapText="1"/>
    </xf>
    <xf numFmtId="0" fontId="61" fillId="60" borderId="18" xfId="0" applyFont="1" applyFill="1" applyBorder="1" applyAlignment="1">
      <alignment horizontal="center" vertical="center" wrapText="1"/>
    </xf>
    <xf numFmtId="0" fontId="61" fillId="60" borderId="46" xfId="0" applyFont="1" applyFill="1" applyBorder="1" applyAlignment="1">
      <alignment horizontal="center" vertical="center" wrapText="1"/>
    </xf>
    <xf numFmtId="0" fontId="61" fillId="60" borderId="40" xfId="0" applyFont="1" applyFill="1" applyBorder="1" applyAlignment="1">
      <alignment horizontal="center" vertical="center" wrapText="1"/>
    </xf>
    <xf numFmtId="0" fontId="61" fillId="60" borderId="53" xfId="0" applyFont="1" applyFill="1" applyBorder="1" applyAlignment="1">
      <alignment horizontal="center" vertical="center" wrapText="1"/>
    </xf>
    <xf numFmtId="0" fontId="61" fillId="60" borderId="73" xfId="0" applyFont="1" applyFill="1" applyBorder="1" applyAlignment="1">
      <alignment horizontal="center" vertical="center"/>
    </xf>
    <xf numFmtId="0" fontId="61" fillId="60" borderId="78" xfId="0" applyFont="1" applyFill="1" applyBorder="1" applyAlignment="1">
      <alignment horizontal="center" vertical="center"/>
    </xf>
    <xf numFmtId="0" fontId="61" fillId="60" borderId="75" xfId="0" applyFont="1" applyFill="1" applyBorder="1" applyAlignment="1">
      <alignment horizontal="center" vertical="center"/>
    </xf>
    <xf numFmtId="0" fontId="61" fillId="60" borderId="80" xfId="0" applyFont="1" applyFill="1" applyBorder="1" applyAlignment="1">
      <alignment horizontal="center" vertical="center"/>
    </xf>
    <xf numFmtId="0" fontId="61" fillId="60" borderId="75" xfId="0" applyFont="1" applyFill="1" applyBorder="1" applyAlignment="1">
      <alignment horizontal="center" vertical="center" wrapText="1"/>
    </xf>
    <xf numFmtId="0" fontId="61" fillId="60" borderId="80" xfId="0" applyFont="1" applyFill="1" applyBorder="1" applyAlignment="1">
      <alignment horizontal="center" vertical="center" wrapText="1"/>
    </xf>
    <xf numFmtId="0" fontId="61" fillId="60" borderId="17" xfId="0" applyFont="1" applyFill="1" applyBorder="1" applyAlignment="1">
      <alignment horizontal="center" vertical="center" wrapText="1"/>
    </xf>
    <xf numFmtId="0" fontId="67" fillId="50" borderId="7" xfId="0" applyFont="1" applyFill="1" applyBorder="1" applyAlignment="1">
      <alignment horizontal="center" vertical="center"/>
    </xf>
    <xf numFmtId="0" fontId="67" fillId="50" borderId="71" xfId="0" applyFont="1" applyFill="1" applyBorder="1" applyAlignment="1">
      <alignment horizontal="center" vertical="center"/>
    </xf>
    <xf numFmtId="0" fontId="75" fillId="60" borderId="14" xfId="0" applyFont="1" applyFill="1" applyBorder="1" applyAlignment="1">
      <alignment horizontal="center" vertical="center" wrapText="1"/>
    </xf>
    <xf numFmtId="0" fontId="61" fillId="60" borderId="77" xfId="0" applyFont="1" applyFill="1" applyBorder="1" applyAlignment="1">
      <alignment horizontal="center" vertical="center" wrapText="1"/>
    </xf>
    <xf numFmtId="0" fontId="61" fillId="60" borderId="82" xfId="0" applyFont="1" applyFill="1" applyBorder="1" applyAlignment="1">
      <alignment horizontal="center" vertical="center" wrapText="1"/>
    </xf>
    <xf numFmtId="0" fontId="56" fillId="50" borderId="45" xfId="0" applyFont="1" applyFill="1" applyBorder="1" applyAlignment="1">
      <alignment horizontal="center" vertical="center"/>
    </xf>
    <xf numFmtId="0" fontId="56" fillId="50" borderId="72" xfId="0" applyFont="1" applyFill="1" applyBorder="1" applyAlignment="1">
      <alignment horizontal="center" vertical="center"/>
    </xf>
    <xf numFmtId="0" fontId="56" fillId="60" borderId="4" xfId="0" applyFont="1" applyFill="1" applyBorder="1" applyAlignment="1">
      <alignment horizontal="center" vertical="center" wrapText="1"/>
    </xf>
    <xf numFmtId="0" fontId="56" fillId="60" borderId="57" xfId="0" applyFont="1" applyFill="1" applyBorder="1" applyAlignment="1">
      <alignment horizontal="center" vertical="center" wrapText="1"/>
    </xf>
    <xf numFmtId="0" fontId="56" fillId="60" borderId="45" xfId="0" applyFont="1" applyFill="1" applyBorder="1" applyAlignment="1">
      <alignment horizontal="center" vertical="center" wrapText="1"/>
    </xf>
    <xf numFmtId="0" fontId="56" fillId="60" borderId="72" xfId="0" applyFont="1" applyFill="1" applyBorder="1" applyAlignment="1">
      <alignment horizontal="center" vertical="center" wrapText="1"/>
    </xf>
    <xf numFmtId="0" fontId="61" fillId="60" borderId="7" xfId="0" applyFont="1" applyFill="1" applyBorder="1" applyAlignment="1">
      <alignment horizontal="center" vertical="center"/>
    </xf>
    <xf numFmtId="0" fontId="61" fillId="60" borderId="71" xfId="0" applyFont="1" applyFill="1" applyBorder="1" applyAlignment="1">
      <alignment horizontal="center" vertical="center"/>
    </xf>
    <xf numFmtId="0" fontId="61" fillId="60" borderId="4" xfId="0" applyFont="1" applyFill="1" applyBorder="1" applyAlignment="1">
      <alignment horizontal="center" vertical="center"/>
    </xf>
    <xf numFmtId="0" fontId="61" fillId="60" borderId="57" xfId="0" applyFont="1" applyFill="1" applyBorder="1" applyAlignment="1">
      <alignment horizontal="center" vertical="center"/>
    </xf>
    <xf numFmtId="0" fontId="61" fillId="60" borderId="27" xfId="0" applyFont="1" applyFill="1" applyBorder="1" applyAlignment="1">
      <alignment horizontal="center" vertical="center"/>
    </xf>
    <xf numFmtId="0" fontId="61" fillId="60" borderId="83" xfId="0" applyFont="1" applyFill="1" applyBorder="1" applyAlignment="1">
      <alignment horizontal="center" vertical="center"/>
    </xf>
    <xf numFmtId="0" fontId="61" fillId="60" borderId="45" xfId="0" applyFont="1" applyFill="1" applyBorder="1" applyAlignment="1">
      <alignment horizontal="center" vertical="center" wrapText="1"/>
    </xf>
    <xf numFmtId="0" fontId="61" fillId="60" borderId="72" xfId="0" applyFont="1" applyFill="1" applyBorder="1" applyAlignment="1">
      <alignment horizontal="center" vertical="center" wrapText="1"/>
    </xf>
    <xf numFmtId="0" fontId="56" fillId="60" borderId="7" xfId="0" applyFont="1" applyFill="1" applyBorder="1" applyAlignment="1">
      <alignment horizontal="center" vertical="center"/>
    </xf>
    <xf numFmtId="0" fontId="56" fillId="60" borderId="71" xfId="0" applyFont="1" applyFill="1" applyBorder="1" applyAlignment="1">
      <alignment horizontal="center" vertical="center"/>
    </xf>
    <xf numFmtId="0" fontId="56" fillId="60" borderId="4" xfId="0" applyFont="1" applyFill="1" applyBorder="1" applyAlignment="1">
      <alignment horizontal="center" vertical="center"/>
    </xf>
    <xf numFmtId="0" fontId="56" fillId="60" borderId="57" xfId="0" applyFont="1" applyFill="1" applyBorder="1" applyAlignment="1">
      <alignment horizontal="center" vertical="center"/>
    </xf>
    <xf numFmtId="0" fontId="56" fillId="60" borderId="45" xfId="0" applyFont="1" applyFill="1" applyBorder="1" applyAlignment="1">
      <alignment horizontal="center" vertical="center"/>
    </xf>
    <xf numFmtId="0" fontId="56" fillId="60" borderId="72" xfId="0" applyFont="1" applyFill="1" applyBorder="1" applyAlignment="1">
      <alignment horizontal="center" vertical="center"/>
    </xf>
    <xf numFmtId="0" fontId="61" fillId="60" borderId="4" xfId="0" applyFont="1" applyFill="1" applyBorder="1" applyAlignment="1">
      <alignment horizontal="center" vertical="justify" wrapText="1"/>
    </xf>
    <xf numFmtId="0" fontId="61" fillId="60" borderId="57" xfId="0" applyFont="1" applyFill="1" applyBorder="1" applyAlignment="1">
      <alignment horizontal="center" vertical="justify" wrapText="1"/>
    </xf>
    <xf numFmtId="0" fontId="5" fillId="54" borderId="27" xfId="0" applyFont="1" applyFill="1" applyBorder="1" applyAlignment="1">
      <alignment horizontal="center" vertical="center"/>
    </xf>
    <xf numFmtId="0" fontId="5" fillId="54" borderId="28" xfId="0" applyFont="1" applyFill="1" applyBorder="1" applyAlignment="1">
      <alignment horizontal="center" vertical="center"/>
    </xf>
    <xf numFmtId="0" fontId="5" fillId="54" borderId="70" xfId="0" applyFont="1" applyFill="1" applyBorder="1" applyAlignment="1">
      <alignment horizontal="center" vertical="center"/>
    </xf>
    <xf numFmtId="0" fontId="5" fillId="54" borderId="18" xfId="0" applyFont="1" applyFill="1" applyBorder="1" applyAlignment="1">
      <alignment horizontal="center" vertical="center"/>
    </xf>
    <xf numFmtId="0" fontId="5" fillId="54" borderId="46" xfId="0" applyFont="1" applyFill="1" applyBorder="1" applyAlignment="1">
      <alignment horizontal="center" vertical="center"/>
    </xf>
    <xf numFmtId="0" fontId="5" fillId="54" borderId="23" xfId="0" applyFont="1" applyFill="1" applyBorder="1" applyAlignment="1">
      <alignment horizontal="center" vertical="center"/>
    </xf>
    <xf numFmtId="0" fontId="5" fillId="54" borderId="25" xfId="0" applyFont="1" applyFill="1" applyBorder="1" applyAlignment="1">
      <alignment horizontal="center" vertical="center" wrapText="1"/>
    </xf>
    <xf numFmtId="0" fontId="5" fillId="54" borderId="26" xfId="0" applyFont="1" applyFill="1" applyBorder="1" applyAlignment="1">
      <alignment horizontal="center" vertical="center" wrapText="1"/>
    </xf>
    <xf numFmtId="0" fontId="5" fillId="54" borderId="62" xfId="0" applyFont="1" applyFill="1" applyBorder="1" applyAlignment="1">
      <alignment horizontal="center" vertical="center" wrapText="1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31" borderId="10" xfId="0" applyFont="1" applyFill="1" applyBorder="1" applyAlignment="1">
      <alignment horizontal="center" vertical="center" wrapText="1"/>
    </xf>
    <xf numFmtId="0" fontId="5" fillId="31" borderId="24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wrapText="1"/>
    </xf>
    <xf numFmtId="0" fontId="5" fillId="2" borderId="13" xfId="0" applyFont="1" applyFill="1" applyBorder="1" applyAlignment="1">
      <alignment horizontal="center" wrapText="1"/>
    </xf>
    <xf numFmtId="0" fontId="5" fillId="4" borderId="12" xfId="0" applyFont="1" applyFill="1" applyBorder="1" applyAlignment="1">
      <alignment horizontal="center" wrapText="1"/>
    </xf>
    <xf numFmtId="0" fontId="5" fillId="4" borderId="24" xfId="0" applyFont="1" applyFill="1" applyBorder="1" applyAlignment="1">
      <alignment horizontal="center" wrapText="1"/>
    </xf>
    <xf numFmtId="0" fontId="5" fillId="28" borderId="15" xfId="0" applyFont="1" applyFill="1" applyBorder="1" applyAlignment="1">
      <alignment horizontal="center" vertical="center"/>
    </xf>
    <xf numFmtId="0" fontId="5" fillId="28" borderId="17" xfId="0" applyFont="1" applyFill="1" applyBorder="1" applyAlignment="1">
      <alignment horizontal="center" vertical="center"/>
    </xf>
    <xf numFmtId="0" fontId="5" fillId="3" borderId="16" xfId="0" applyFont="1" applyFill="1" applyBorder="1" applyAlignment="1">
      <alignment horizontal="center" vertical="center"/>
    </xf>
    <xf numFmtId="0" fontId="5" fillId="3" borderId="17" xfId="0" applyFont="1" applyFill="1" applyBorder="1" applyAlignment="1">
      <alignment horizontal="center" vertical="center"/>
    </xf>
    <xf numFmtId="0" fontId="47" fillId="51" borderId="15" xfId="0" applyFont="1" applyFill="1" applyBorder="1" applyAlignment="1">
      <alignment horizontal="center" vertical="center" wrapText="1"/>
    </xf>
    <xf numFmtId="0" fontId="47" fillId="51" borderId="16" xfId="0" applyFont="1" applyFill="1" applyBorder="1" applyAlignment="1">
      <alignment horizontal="center" vertical="center" wrapText="1"/>
    </xf>
    <xf numFmtId="0" fontId="47" fillId="51" borderId="17" xfId="0" applyFont="1" applyFill="1" applyBorder="1" applyAlignment="1">
      <alignment horizontal="center" vertical="center" wrapText="1"/>
    </xf>
    <xf numFmtId="0" fontId="25" fillId="4" borderId="18" xfId="0" applyFont="1" applyFill="1" applyBorder="1" applyAlignment="1">
      <alignment horizontal="center" vertical="center" wrapText="1"/>
    </xf>
    <xf numFmtId="0" fontId="25" fillId="4" borderId="23" xfId="0" applyFont="1" applyFill="1" applyBorder="1" applyAlignment="1">
      <alignment horizontal="center" vertical="center" wrapText="1"/>
    </xf>
    <xf numFmtId="0" fontId="52" fillId="37" borderId="63" xfId="0" applyFont="1" applyFill="1" applyBorder="1" applyAlignment="1">
      <alignment horizontal="center"/>
    </xf>
    <xf numFmtId="0" fontId="52" fillId="37" borderId="64" xfId="0" applyFont="1" applyFill="1" applyBorder="1" applyAlignment="1">
      <alignment horizontal="center"/>
    </xf>
    <xf numFmtId="0" fontId="52" fillId="37" borderId="50" xfId="0" applyFont="1" applyFill="1" applyBorder="1" applyAlignment="1">
      <alignment horizontal="center"/>
    </xf>
    <xf numFmtId="0" fontId="58" fillId="56" borderId="16" xfId="0" applyFont="1" applyFill="1" applyBorder="1" applyAlignment="1">
      <alignment horizontal="left" vertical="center" wrapText="1"/>
    </xf>
    <xf numFmtId="0" fontId="58" fillId="56" borderId="21" xfId="0" applyFont="1" applyFill="1" applyBorder="1" applyAlignment="1">
      <alignment horizontal="left" vertical="center" wrapText="1"/>
    </xf>
    <xf numFmtId="0" fontId="58" fillId="56" borderId="22" xfId="0" applyFont="1" applyFill="1" applyBorder="1" applyAlignment="1">
      <alignment horizontal="left" vertical="center" wrapText="1"/>
    </xf>
    <xf numFmtId="0" fontId="58" fillId="57" borderId="41" xfId="0" applyFont="1" applyFill="1" applyBorder="1" applyAlignment="1">
      <alignment horizontal="center" vertical="center"/>
    </xf>
    <xf numFmtId="0" fontId="58" fillId="57" borderId="0" xfId="0" applyFont="1" applyFill="1" applyAlignment="1">
      <alignment horizontal="center" vertical="center"/>
    </xf>
    <xf numFmtId="0" fontId="67" fillId="55" borderId="11" xfId="0" applyFont="1" applyFill="1" applyBorder="1" applyAlignment="1">
      <alignment horizontal="center" vertical="center" wrapText="1"/>
    </xf>
    <xf numFmtId="0" fontId="67" fillId="55" borderId="15" xfId="0" applyFont="1" applyFill="1" applyBorder="1" applyAlignment="1">
      <alignment horizontal="center" vertical="center" wrapText="1"/>
    </xf>
    <xf numFmtId="0" fontId="67" fillId="55" borderId="16" xfId="0" applyFont="1" applyFill="1" applyBorder="1" applyAlignment="1">
      <alignment horizontal="center" vertical="center" wrapText="1"/>
    </xf>
    <xf numFmtId="0" fontId="0" fillId="0" borderId="63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65" xfId="0" applyBorder="1" applyAlignment="1">
      <alignment horizontal="center"/>
    </xf>
    <xf numFmtId="0" fontId="0" fillId="0" borderId="64" xfId="0" applyBorder="1" applyAlignment="1">
      <alignment horizontal="center"/>
    </xf>
    <xf numFmtId="0" fontId="67" fillId="55" borderId="13" xfId="0" applyFont="1" applyFill="1" applyBorder="1" applyAlignment="1">
      <alignment horizontal="center" vertical="center" wrapText="1"/>
    </xf>
    <xf numFmtId="0" fontId="58" fillId="56" borderId="43" xfId="0" applyFont="1" applyFill="1" applyBorder="1" applyAlignment="1">
      <alignment horizontal="left" vertical="center" wrapText="1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58" fillId="57" borderId="55" xfId="0" applyFont="1" applyFill="1" applyBorder="1" applyAlignment="1">
      <alignment horizontal="left" vertical="center"/>
    </xf>
    <xf numFmtId="0" fontId="58" fillId="57" borderId="0" xfId="0" applyFont="1" applyFill="1" applyAlignment="1">
      <alignment horizontal="left" vertical="center"/>
    </xf>
    <xf numFmtId="0" fontId="0" fillId="0" borderId="2" xfId="0" applyBorder="1" applyAlignment="1">
      <alignment horizontal="center"/>
    </xf>
    <xf numFmtId="0" fontId="0" fillId="0" borderId="59" xfId="0" applyBorder="1" applyAlignment="1">
      <alignment horizontal="center"/>
    </xf>
    <xf numFmtId="0" fontId="58" fillId="57" borderId="42" xfId="0" applyFont="1" applyFill="1" applyBorder="1" applyAlignment="1">
      <alignment horizontal="center" vertical="center"/>
    </xf>
    <xf numFmtId="0" fontId="58" fillId="57" borderId="43" xfId="0" applyFont="1" applyFill="1" applyBorder="1" applyAlignment="1">
      <alignment horizontal="center" vertical="center"/>
    </xf>
    <xf numFmtId="0" fontId="67" fillId="55" borderId="17" xfId="0" applyFont="1" applyFill="1" applyBorder="1" applyAlignment="1">
      <alignment horizontal="center" vertical="center" wrapText="1"/>
    </xf>
  </cellXfs>
  <cellStyles count="50">
    <cellStyle name="20% - Ênfase1 2" xfId="4" xr:uid="{00000000-0005-0000-0000-000000000000}"/>
    <cellStyle name="20% - Ênfase2 2" xfId="5" xr:uid="{00000000-0005-0000-0000-000001000000}"/>
    <cellStyle name="20% - Ênfase3 2" xfId="6" xr:uid="{00000000-0005-0000-0000-000002000000}"/>
    <cellStyle name="20% - Ênfase4 2" xfId="7" xr:uid="{00000000-0005-0000-0000-000003000000}"/>
    <cellStyle name="20% - Ênfase5 2" xfId="8" xr:uid="{00000000-0005-0000-0000-000004000000}"/>
    <cellStyle name="20% - Ênfase6 2" xfId="9" xr:uid="{00000000-0005-0000-0000-000005000000}"/>
    <cellStyle name="40% - Ênfase1 2" xfId="10" xr:uid="{00000000-0005-0000-0000-000006000000}"/>
    <cellStyle name="40% - Ênfase2 2" xfId="11" xr:uid="{00000000-0005-0000-0000-000007000000}"/>
    <cellStyle name="40% - Ênfase3 2" xfId="12" xr:uid="{00000000-0005-0000-0000-000008000000}"/>
    <cellStyle name="40% - Ênfase4 2" xfId="13" xr:uid="{00000000-0005-0000-0000-000009000000}"/>
    <cellStyle name="40% - Ênfase5 2" xfId="14" xr:uid="{00000000-0005-0000-0000-00000A000000}"/>
    <cellStyle name="40% - Ênfase6 2" xfId="15" xr:uid="{00000000-0005-0000-0000-00000B000000}"/>
    <cellStyle name="60% - Ênfase1 2" xfId="16" xr:uid="{00000000-0005-0000-0000-00000C000000}"/>
    <cellStyle name="60% - Ênfase2 2" xfId="17" xr:uid="{00000000-0005-0000-0000-00000D000000}"/>
    <cellStyle name="60% - Ênfase3 2" xfId="18" xr:uid="{00000000-0005-0000-0000-00000E000000}"/>
    <cellStyle name="60% - Ênfase4 2" xfId="19" xr:uid="{00000000-0005-0000-0000-00000F000000}"/>
    <cellStyle name="60% - Ênfase5 2" xfId="20" xr:uid="{00000000-0005-0000-0000-000010000000}"/>
    <cellStyle name="60% - Ênfase6 2" xfId="21" xr:uid="{00000000-0005-0000-0000-000011000000}"/>
    <cellStyle name="Bom 2" xfId="22" xr:uid="{00000000-0005-0000-0000-000012000000}"/>
    <cellStyle name="Cálculo 2" xfId="23" xr:uid="{00000000-0005-0000-0000-000013000000}"/>
    <cellStyle name="Célula de Verificação 2" xfId="24" xr:uid="{00000000-0005-0000-0000-000014000000}"/>
    <cellStyle name="Célula Vinculada 2" xfId="25" xr:uid="{00000000-0005-0000-0000-000015000000}"/>
    <cellStyle name="Ênfase1 2" xfId="26" xr:uid="{00000000-0005-0000-0000-000016000000}"/>
    <cellStyle name="Ênfase2 2" xfId="27" xr:uid="{00000000-0005-0000-0000-000017000000}"/>
    <cellStyle name="Ênfase3 2" xfId="28" xr:uid="{00000000-0005-0000-0000-000018000000}"/>
    <cellStyle name="Ênfase4 2" xfId="29" xr:uid="{00000000-0005-0000-0000-000019000000}"/>
    <cellStyle name="Ênfase5 2" xfId="30" xr:uid="{00000000-0005-0000-0000-00001A000000}"/>
    <cellStyle name="Ênfase6 2" xfId="31" xr:uid="{00000000-0005-0000-0000-00001B000000}"/>
    <cellStyle name="Entrada 2" xfId="32" xr:uid="{00000000-0005-0000-0000-00001C000000}"/>
    <cellStyle name="Incorreto 2" xfId="33" xr:uid="{00000000-0005-0000-0000-00001D000000}"/>
    <cellStyle name="Moeda 2" xfId="1" xr:uid="{00000000-0005-0000-0000-00001E000000}"/>
    <cellStyle name="Moeda 2 2" xfId="47" xr:uid="{00000000-0005-0000-0000-00001F000000}"/>
    <cellStyle name="Neutra 2" xfId="34" xr:uid="{00000000-0005-0000-0000-000020000000}"/>
    <cellStyle name="Normal" xfId="0" builtinId="0"/>
    <cellStyle name="Normal 2" xfId="35" xr:uid="{00000000-0005-0000-0000-000022000000}"/>
    <cellStyle name="Normal 3" xfId="2" xr:uid="{00000000-0005-0000-0000-000023000000}"/>
    <cellStyle name="Normal 4" xfId="3" xr:uid="{00000000-0005-0000-0000-000024000000}"/>
    <cellStyle name="Normal 5" xfId="46" xr:uid="{00000000-0005-0000-0000-000025000000}"/>
    <cellStyle name="Nota 2" xfId="36" xr:uid="{00000000-0005-0000-0000-000026000000}"/>
    <cellStyle name="Saída 2" xfId="37" xr:uid="{00000000-0005-0000-0000-000027000000}"/>
    <cellStyle name="TableStyleLight1" xfId="48" xr:uid="{00000000-0005-0000-0000-000029000000}"/>
    <cellStyle name="Texto de Aviso 2" xfId="38" xr:uid="{00000000-0005-0000-0000-00002A000000}"/>
    <cellStyle name="Texto Explicativo 2" xfId="39" xr:uid="{00000000-0005-0000-0000-00002B000000}"/>
    <cellStyle name="Título 1 2" xfId="41" xr:uid="{00000000-0005-0000-0000-00002C000000}"/>
    <cellStyle name="Título 2 2" xfId="42" xr:uid="{00000000-0005-0000-0000-00002D000000}"/>
    <cellStyle name="Título 3 2" xfId="43" xr:uid="{00000000-0005-0000-0000-00002E000000}"/>
    <cellStyle name="Título 4 2" xfId="44" xr:uid="{00000000-0005-0000-0000-00002F000000}"/>
    <cellStyle name="Título 5" xfId="40" xr:uid="{00000000-0005-0000-0000-000030000000}"/>
    <cellStyle name="Total 2" xfId="45" xr:uid="{00000000-0005-0000-0000-000031000000}"/>
    <cellStyle name="Vírgula" xfId="49" builtinId="3"/>
  </cellStyles>
  <dxfs count="20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left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Arial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textRotation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medium">
          <color indexed="64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3" tint="0.79998168889431442"/>
        </patternFill>
      </fill>
      <alignment horizontal="center" vertical="center" textRotation="9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colors>
    <mruColors>
      <color rgb="FF9900CC"/>
      <color rgb="FF00FFCC"/>
      <color rgb="FF00CCFF"/>
      <color rgb="FF00FFFF"/>
      <color rgb="FFCC0000"/>
      <color rgb="FFFF9900"/>
      <color rgb="FFFFFF66"/>
      <color rgb="FFA50021"/>
      <color rgb="FF990033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&#233;lio%20Ramos/Desktop/carrijo/Consolidado_ATENCAO_PSICOSSOCIAL___VERSAO_2019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Apoio"/>
      <sheetName val="Atividades"/>
      <sheetName val="Problemas com Álcool"/>
      <sheetName val="Violências não Letais"/>
      <sheetName val="Homicídios"/>
      <sheetName val="Tentativas de Suicídio"/>
      <sheetName val="Óbito por Suicídio"/>
      <sheetName val="polos"/>
      <sheetName val="Usuários de Psicotrópicos"/>
    </sheetNames>
    <sheetDataSet>
      <sheetData sheetId="0">
        <row r="2">
          <cell r="B2" t="str">
            <v>F</v>
          </cell>
          <cell r="C2" t="str">
            <v>S</v>
          </cell>
          <cell r="D2" t="str">
            <v>SOLTEIRO</v>
          </cell>
          <cell r="H2" t="str">
            <v>CAPS</v>
          </cell>
          <cell r="O2" t="str">
            <v>Em tratamento</v>
          </cell>
        </row>
        <row r="3">
          <cell r="B3" t="str">
            <v>M</v>
          </cell>
          <cell r="C3" t="str">
            <v>N</v>
          </cell>
          <cell r="D3" t="str">
            <v>CASADO</v>
          </cell>
          <cell r="H3" t="str">
            <v>Unidade de Acolhimento</v>
          </cell>
          <cell r="O3" t="str">
            <v>Alta</v>
          </cell>
        </row>
        <row r="4">
          <cell r="D4" t="str">
            <v>DIVORCIADO</v>
          </cell>
          <cell r="H4" t="str">
            <v>Hospitais Gerais</v>
          </cell>
          <cell r="O4" t="str">
            <v xml:space="preserve">Perda de Seguimento </v>
          </cell>
        </row>
        <row r="5">
          <cell r="D5" t="str">
            <v>VIUVO</v>
          </cell>
          <cell r="H5" t="str">
            <v>UPA</v>
          </cell>
          <cell r="O5" t="str">
            <v>Interrupção por conta própria</v>
          </cell>
        </row>
        <row r="6">
          <cell r="D6" t="str">
            <v>RELACIONAMENTO ESTÁVEL</v>
          </cell>
          <cell r="H6" t="str">
            <v>Unidade Básica de Saúde</v>
          </cell>
          <cell r="O6" t="str">
            <v>Óbito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BF53B2-7968-4235-8594-6CD5274C2664}" name="Tabela2" displayName="Tabela2" ref="A1:AB49" totalsRowShown="0" headerRowDxfId="199" dataDxfId="197" headerRowBorderDxfId="198" tableBorderDxfId="196">
  <autoFilter ref="A1:AB49" xr:uid="{1F320B05-FF7E-4747-9E92-4EDD927A37A6}"/>
  <tableColumns count="28">
    <tableColumn id="1" xr3:uid="{E73C7CB3-29C9-4B58-B4D6-F721FCB4E644}" name="Meses" dataDxfId="195"/>
    <tableColumn id="2" xr3:uid="{3757F776-B2AE-4C32-81BF-8C316CF65296}" name="Cartão SUS" dataDxfId="194"/>
    <tableColumn id="3" xr3:uid="{0E766EFD-BC47-451E-810C-7E3D427AE89B}" name="RG" dataDxfId="193"/>
    <tableColumn id="4" xr3:uid="{BE79CF76-5FC6-41D9-970E-6AA2984FD6F0}" name="Polo Base" dataDxfId="192"/>
    <tableColumn id="5" xr3:uid="{280484A3-F528-4959-A6A0-88A14A4631AF}" name="Local de Moradia* (Nome da Aldeia ou Cidade)" dataDxfId="191"/>
    <tableColumn id="6" xr3:uid="{688AE7B8-22EE-400D-857D-05C4181F8BCD}" name="Nome (CENSO)*" dataDxfId="190"/>
    <tableColumn id="7" xr3:uid="{D64D291F-A1C5-41E7-A948-CC7B631476EB}" name="Sexo (M/F)" dataDxfId="189"/>
    <tableColumn id="8" xr3:uid="{3C710A19-3B37-47B6-8346-D43882DB76D5}" name="Etnia" dataDxfId="188"/>
    <tableColumn id="9" xr3:uid="{10C8FFA0-6A7D-4A57-AC42-99B845DF67E4}" name="Data de Nascimento (dd/mm/aaaa)" dataDxfId="187"/>
    <tableColumn id="10" xr3:uid="{23A0E970-6ECD-4E47-80D0-A27351F03289}" name="Idade" dataDxfId="186">
      <calculatedColumnFormula>INT((TODAY()-I2)/365.25)</calculatedColumnFormula>
    </tableColumn>
    <tableColumn id="11" xr3:uid="{AF462EE7-6625-4D61-8204-2B89ADAB25A4}" name="Data do Diagnóstico (dd/mm/aaaa)" dataDxfId="185"/>
    <tableColumn id="12" xr3:uid="{292EAAFC-7172-4A7B-94AE-5475BDE62230}" name=" Total de Consulta Médica ( número)" dataDxfId="184"/>
    <tableColumn id="13" xr3:uid="{9F329C20-7FEF-49F1-B696-5DC10FB50558}" name="Total de Consulta Enfermagem (número)" dataDxfId="183"/>
    <tableColumn id="14" xr3:uid="{7338C19F-8A79-4D9A-B1DA-07DAAC5CB770}" name="Hemograma Completo      (S) Sim (N) Não" dataDxfId="182"/>
    <tableColumn id="15" xr3:uid="{256B8163-E1A5-4BC3-BDA6-81D8CD6D373F}" name="Glicemia Jejum                  (S) Sim (N) Não" dataDxfId="181"/>
    <tableColumn id="16" xr3:uid="{E959A9AE-BA53-44CE-9F28-C2D91FC16AA9}" name="Hemoglobina Glicada      (S) Sim (N) Não" dataDxfId="180"/>
    <tableColumn id="17" xr3:uid="{7548BAE9-B25E-4635-8348-EDC7A2DDAB43}" name="Colesterol total e Frações  (S) Sim (N) Não" dataDxfId="179"/>
    <tableColumn id="18" xr3:uid="{F52A161B-A1D1-4ED7-9923-4BFFE222080E}" name="Sódio (S) Sim (N) Não" dataDxfId="178"/>
    <tableColumn id="19" xr3:uid="{2550A60D-86BC-49B7-BEA4-5F0149F1ABF8}" name="Potássio (S) Sim (N)Não" dataDxfId="177"/>
    <tableColumn id="20" xr3:uid="{ED901795-84CB-44E0-9286-38F37E256E6B}" name="Uréia (S) Sim (N)Não" dataDxfId="176"/>
    <tableColumn id="21" xr3:uid="{0B9F42F3-1ED4-419A-A8EA-C070CDD7EA0C}" name="Creatinina                             (S) Sim (N)Não" dataDxfId="175"/>
    <tableColumn id="22" xr3:uid="{1FD380A8-E1FB-45B7-B865-E5701B576F82}" name="CK (S) Sim (N)Não" dataDxfId="174"/>
    <tableColumn id="23" xr3:uid="{29F579E9-77EC-468D-8726-5CC3D375C9C7}" name="Gama GT (S) Sim (N)Não" dataDxfId="173"/>
    <tableColumn id="24" xr3:uid="{1B46E079-9F62-476D-9BF5-48177E2A88B4}" name="TGO e TGP                                         (S) Sim (N)Não" dataDxfId="172"/>
    <tableColumn id="25" xr3:uid="{190BA271-1422-46AB-8A37-CFA91FF92B6F}" name="Urina I (S) Sim (N)Não" dataDxfId="171"/>
    <tableColumn id="26" xr3:uid="{B662E062-4701-463A-9A23-FA6244B2B321}" name="Urina 24h (proteinúria) (S) Sim (N)Não" dataDxfId="170"/>
    <tableColumn id="27" xr3:uid="{7D9AB111-ED67-4602-BE04-F47F28BC27E4}" name="Fundo de Olho                                    (S) Sim (N)Não" dataDxfId="169"/>
    <tableColumn id="28" xr3:uid="{FDFA5E2C-6EE1-49F8-A60F-0C6914A2E483}" name="Observação" dataDxfId="168"/>
  </tableColumns>
  <tableStyleInfo name="TableStyleLight1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Y30"/>
  <sheetViews>
    <sheetView showGridLines="0" zoomScaleNormal="100" workbookViewId="0">
      <pane ySplit="1" topLeftCell="A2" activePane="bottomLeft" state="frozenSplit"/>
      <selection pane="bottomLeft" activeCell="T6" sqref="T6:W6"/>
    </sheetView>
  </sheetViews>
  <sheetFormatPr defaultRowHeight="14.4" x14ac:dyDescent="0.3"/>
  <cols>
    <col min="1" max="1" width="26.6640625" style="4" bestFit="1" customWidth="1"/>
    <col min="2" max="5" width="9.109375" customWidth="1"/>
    <col min="6" max="6" width="10.109375" customWidth="1"/>
    <col min="12" max="12" width="9.6640625" customWidth="1"/>
    <col min="17" max="17" width="12.33203125" customWidth="1"/>
    <col min="24" max="24" width="5.5546875" customWidth="1"/>
  </cols>
  <sheetData>
    <row r="1" spans="1:25" ht="15" thickBot="1" x14ac:dyDescent="0.35">
      <c r="A1" s="419" t="s">
        <v>0</v>
      </c>
      <c r="B1" s="420"/>
      <c r="C1" s="420"/>
      <c r="D1" s="420"/>
      <c r="E1" s="420"/>
      <c r="F1" s="421"/>
    </row>
    <row r="3" spans="1:25" ht="15" thickBot="1" x14ac:dyDescent="0.35">
      <c r="A3" s="299" t="s">
        <v>1</v>
      </c>
    </row>
    <row r="4" spans="1:25" ht="15" customHeight="1" x14ac:dyDescent="0.3">
      <c r="A4" s="10"/>
      <c r="B4" s="410" t="s">
        <v>2</v>
      </c>
      <c r="C4" s="411"/>
      <c r="D4" s="411"/>
      <c r="E4" s="411"/>
      <c r="F4" s="412"/>
      <c r="I4" s="395" t="s">
        <v>3</v>
      </c>
      <c r="J4" s="396"/>
      <c r="K4" s="396"/>
      <c r="L4" s="396"/>
      <c r="M4" s="396"/>
      <c r="N4" s="396"/>
      <c r="O4" s="396"/>
      <c r="P4" s="396"/>
      <c r="Q4" s="397"/>
      <c r="T4" s="443" t="s">
        <v>4</v>
      </c>
      <c r="U4" s="443"/>
      <c r="V4" s="443"/>
      <c r="W4" s="443"/>
      <c r="X4" s="155"/>
    </row>
    <row r="5" spans="1:25" ht="15" thickBot="1" x14ac:dyDescent="0.35">
      <c r="A5" s="10"/>
      <c r="B5" s="413"/>
      <c r="C5" s="414"/>
      <c r="D5" s="414"/>
      <c r="E5" s="414"/>
      <c r="F5" s="415"/>
      <c r="I5" s="398"/>
      <c r="J5" s="399"/>
      <c r="K5" s="399"/>
      <c r="L5" s="399"/>
      <c r="M5" s="399"/>
      <c r="N5" s="399"/>
      <c r="O5" s="399"/>
      <c r="P5" s="399"/>
      <c r="Q5" s="400"/>
      <c r="X5" s="155"/>
    </row>
    <row r="6" spans="1:25" ht="15" thickBot="1" x14ac:dyDescent="0.35">
      <c r="A6" s="10"/>
      <c r="B6" s="413"/>
      <c r="C6" s="414"/>
      <c r="D6" s="414"/>
      <c r="E6" s="414"/>
      <c r="F6" s="415"/>
      <c r="T6" s="444" t="s">
        <v>5</v>
      </c>
      <c r="U6" s="444"/>
      <c r="V6" s="444"/>
      <c r="W6" s="444"/>
      <c r="X6" s="155"/>
    </row>
    <row r="7" spans="1:25" x14ac:dyDescent="0.3">
      <c r="A7" s="10"/>
      <c r="B7" s="413"/>
      <c r="C7" s="414"/>
      <c r="D7" s="414"/>
      <c r="E7" s="414"/>
      <c r="F7" s="415"/>
      <c r="I7" s="401" t="s">
        <v>6</v>
      </c>
      <c r="J7" s="402"/>
      <c r="K7" s="402"/>
      <c r="L7" s="402"/>
      <c r="M7" s="402"/>
      <c r="N7" s="402"/>
      <c r="O7" s="402"/>
      <c r="P7" s="402"/>
      <c r="Q7" s="403"/>
      <c r="X7" s="155"/>
    </row>
    <row r="8" spans="1:25" x14ac:dyDescent="0.3">
      <c r="A8" s="10"/>
      <c r="B8" s="413"/>
      <c r="C8" s="414"/>
      <c r="D8" s="414"/>
      <c r="E8" s="414"/>
      <c r="F8" s="415"/>
      <c r="I8" s="404"/>
      <c r="J8" s="405"/>
      <c r="K8" s="405"/>
      <c r="L8" s="405"/>
      <c r="M8" s="405"/>
      <c r="N8" s="405"/>
      <c r="O8" s="405"/>
      <c r="P8" s="405"/>
      <c r="Q8" s="406"/>
      <c r="T8" s="445" t="s">
        <v>7</v>
      </c>
      <c r="U8" s="445"/>
      <c r="V8" s="445"/>
      <c r="W8" s="445"/>
      <c r="X8" s="155"/>
    </row>
    <row r="9" spans="1:25" x14ac:dyDescent="0.3">
      <c r="A9" s="10"/>
      <c r="B9" s="413"/>
      <c r="C9" s="414"/>
      <c r="D9" s="414"/>
      <c r="E9" s="414"/>
      <c r="F9" s="415"/>
      <c r="I9" s="404"/>
      <c r="J9" s="405"/>
      <c r="K9" s="405"/>
      <c r="L9" s="405"/>
      <c r="M9" s="405"/>
      <c r="N9" s="405"/>
      <c r="O9" s="405"/>
      <c r="P9" s="405"/>
      <c r="Q9" s="406"/>
      <c r="X9" s="155"/>
    </row>
    <row r="10" spans="1:25" ht="15" thickBot="1" x14ac:dyDescent="0.35">
      <c r="A10" s="10"/>
      <c r="B10" s="416"/>
      <c r="C10" s="417"/>
      <c r="D10" s="417"/>
      <c r="E10" s="417"/>
      <c r="F10" s="418"/>
      <c r="I10" s="404"/>
      <c r="J10" s="405"/>
      <c r="K10" s="405"/>
      <c r="L10" s="405"/>
      <c r="M10" s="405"/>
      <c r="N10" s="405"/>
      <c r="O10" s="405"/>
      <c r="P10" s="405"/>
      <c r="Q10" s="406"/>
      <c r="T10" s="446" t="s">
        <v>8</v>
      </c>
      <c r="U10" s="446"/>
      <c r="V10" s="446"/>
      <c r="W10" s="446"/>
      <c r="X10" s="155"/>
    </row>
    <row r="11" spans="1:25" x14ac:dyDescent="0.3">
      <c r="A11" s="10"/>
      <c r="I11" s="404"/>
      <c r="J11" s="405"/>
      <c r="K11" s="405"/>
      <c r="L11" s="405"/>
      <c r="M11" s="405"/>
      <c r="N11" s="405"/>
      <c r="O11" s="405"/>
      <c r="P11" s="405"/>
      <c r="Q11" s="406"/>
      <c r="X11" s="155"/>
    </row>
    <row r="12" spans="1:25" ht="15" thickBot="1" x14ac:dyDescent="0.35">
      <c r="A12" s="299" t="s">
        <v>9</v>
      </c>
      <c r="I12" s="404"/>
      <c r="J12" s="405"/>
      <c r="K12" s="405"/>
      <c r="L12" s="405"/>
      <c r="M12" s="405"/>
      <c r="N12" s="405"/>
      <c r="O12" s="405"/>
      <c r="P12" s="405"/>
      <c r="Q12" s="406"/>
      <c r="T12" s="447" t="s">
        <v>10</v>
      </c>
      <c r="U12" s="447"/>
      <c r="V12" s="447"/>
      <c r="W12" s="447"/>
      <c r="X12" s="155"/>
    </row>
    <row r="13" spans="1:25" x14ac:dyDescent="0.3">
      <c r="A13" s="10"/>
      <c r="B13" s="410" t="s">
        <v>11</v>
      </c>
      <c r="C13" s="411"/>
      <c r="D13" s="411"/>
      <c r="E13" s="411"/>
      <c r="F13" s="412"/>
      <c r="I13" s="404"/>
      <c r="J13" s="405"/>
      <c r="K13" s="405"/>
      <c r="L13" s="405"/>
      <c r="M13" s="405"/>
      <c r="N13" s="405"/>
      <c r="O13" s="405"/>
      <c r="P13" s="405"/>
      <c r="Q13" s="406"/>
    </row>
    <row r="14" spans="1:25" ht="15.75" customHeight="1" thickBot="1" x14ac:dyDescent="0.35">
      <c r="A14" s="10"/>
      <c r="B14" s="413"/>
      <c r="C14" s="414"/>
      <c r="D14" s="414"/>
      <c r="E14" s="414"/>
      <c r="F14" s="415"/>
      <c r="I14" s="407"/>
      <c r="J14" s="408"/>
      <c r="K14" s="408"/>
      <c r="L14" s="408"/>
      <c r="M14" s="408"/>
      <c r="N14" s="408"/>
      <c r="O14" s="408"/>
      <c r="P14" s="408"/>
      <c r="Q14" s="409"/>
      <c r="S14" s="442" t="s">
        <v>12</v>
      </c>
      <c r="T14" s="442"/>
      <c r="U14" s="442"/>
      <c r="V14" s="442"/>
      <c r="W14" s="442"/>
      <c r="X14" s="442"/>
      <c r="Y14" s="442"/>
    </row>
    <row r="15" spans="1:25" ht="15" thickBot="1" x14ac:dyDescent="0.35">
      <c r="A15" s="10"/>
      <c r="B15" s="416"/>
      <c r="C15" s="417"/>
      <c r="D15" s="417"/>
      <c r="E15" s="417"/>
      <c r="F15" s="418"/>
      <c r="T15" s="155"/>
    </row>
    <row r="16" spans="1:25" ht="15" customHeight="1" x14ac:dyDescent="0.3">
      <c r="A16" s="10"/>
      <c r="I16" s="428" t="s">
        <v>13</v>
      </c>
      <c r="J16" s="429"/>
      <c r="K16" s="429"/>
      <c r="L16" s="429"/>
      <c r="M16" s="429"/>
      <c r="N16" s="429"/>
      <c r="O16" s="429"/>
      <c r="P16" s="429"/>
      <c r="Q16" s="430"/>
      <c r="T16" s="155"/>
    </row>
    <row r="17" spans="1:20" ht="15" thickBot="1" x14ac:dyDescent="0.35">
      <c r="A17" s="299" t="s">
        <v>14</v>
      </c>
      <c r="I17" s="431"/>
      <c r="J17" s="432"/>
      <c r="K17" s="432"/>
      <c r="L17" s="432"/>
      <c r="M17" s="432"/>
      <c r="N17" s="432"/>
      <c r="O17" s="432"/>
      <c r="P17" s="432"/>
      <c r="Q17" s="433"/>
      <c r="T17" s="155"/>
    </row>
    <row r="18" spans="1:20" x14ac:dyDescent="0.3">
      <c r="A18" s="10"/>
      <c r="B18" s="410" t="s">
        <v>15</v>
      </c>
      <c r="C18" s="411"/>
      <c r="D18" s="411"/>
      <c r="E18" s="411"/>
      <c r="F18" s="412"/>
      <c r="I18" s="9"/>
      <c r="J18" s="9"/>
      <c r="K18" s="9"/>
      <c r="L18" s="9"/>
      <c r="M18" s="9"/>
      <c r="N18" s="9"/>
      <c r="O18" s="9"/>
      <c r="P18" s="9"/>
      <c r="Q18" s="9"/>
      <c r="T18" s="155"/>
    </row>
    <row r="19" spans="1:20" ht="15.75" customHeight="1" thickBot="1" x14ac:dyDescent="0.35">
      <c r="A19" s="10"/>
      <c r="B19" s="416"/>
      <c r="C19" s="417"/>
      <c r="D19" s="417"/>
      <c r="E19" s="417"/>
      <c r="F19" s="418"/>
      <c r="I19" s="11"/>
      <c r="J19" s="11"/>
      <c r="K19" s="11"/>
      <c r="L19" s="11"/>
      <c r="M19" s="11"/>
      <c r="N19" s="9"/>
      <c r="O19" s="9"/>
      <c r="P19" s="9"/>
      <c r="Q19" s="9"/>
      <c r="T19" s="155"/>
    </row>
    <row r="20" spans="1:20" ht="15" customHeight="1" thickBot="1" x14ac:dyDescent="0.35">
      <c r="A20" s="10"/>
      <c r="I20" s="434" t="s">
        <v>16</v>
      </c>
      <c r="J20" s="435"/>
      <c r="K20" s="435"/>
      <c r="L20" s="435"/>
      <c r="M20" s="436"/>
      <c r="N20" s="435"/>
      <c r="O20" s="435"/>
      <c r="P20" s="435"/>
      <c r="Q20" s="437"/>
      <c r="T20" s="155"/>
    </row>
    <row r="21" spans="1:20" ht="15.75" customHeight="1" thickBot="1" x14ac:dyDescent="0.35">
      <c r="A21" s="299" t="s">
        <v>17</v>
      </c>
      <c r="I21" s="438" t="s">
        <v>18</v>
      </c>
      <c r="J21" s="438"/>
      <c r="K21" s="438"/>
      <c r="L21" s="438"/>
      <c r="N21" s="438" t="s">
        <v>19</v>
      </c>
      <c r="O21" s="438"/>
      <c r="P21" s="438"/>
      <c r="Q21" s="438"/>
      <c r="T21" s="155"/>
    </row>
    <row r="22" spans="1:20" ht="15" thickBot="1" x14ac:dyDescent="0.35">
      <c r="A22" s="10"/>
      <c r="B22" s="439" t="s">
        <v>20</v>
      </c>
      <c r="C22" s="440"/>
      <c r="D22" s="440"/>
      <c r="E22" s="440"/>
      <c r="F22" s="441"/>
      <c r="I22" s="438"/>
      <c r="J22" s="438"/>
      <c r="K22" s="438"/>
      <c r="L22" s="438"/>
      <c r="N22" s="438"/>
      <c r="O22" s="438"/>
      <c r="P22" s="438"/>
      <c r="Q22" s="438"/>
      <c r="T22" s="155"/>
    </row>
    <row r="23" spans="1:20" x14ac:dyDescent="0.3">
      <c r="A23" s="10"/>
      <c r="I23" s="438"/>
      <c r="J23" s="438"/>
      <c r="K23" s="438"/>
      <c r="L23" s="438"/>
      <c r="N23" s="438"/>
      <c r="O23" s="438"/>
      <c r="P23" s="438"/>
      <c r="Q23" s="438"/>
    </row>
    <row r="24" spans="1:20" ht="15" thickBot="1" x14ac:dyDescent="0.35">
      <c r="A24" s="300" t="s">
        <v>21</v>
      </c>
      <c r="I24" s="438"/>
      <c r="J24" s="438"/>
      <c r="K24" s="438"/>
      <c r="L24" s="438"/>
      <c r="N24" s="438"/>
      <c r="O24" s="438"/>
      <c r="P24" s="438"/>
      <c r="Q24" s="438"/>
    </row>
    <row r="25" spans="1:20" x14ac:dyDescent="0.3">
      <c r="B25" s="422" t="s">
        <v>22</v>
      </c>
      <c r="C25" s="423"/>
      <c r="D25" s="423"/>
      <c r="E25" s="423"/>
      <c r="F25" s="424"/>
      <c r="I25" s="438"/>
      <c r="J25" s="438"/>
      <c r="K25" s="438"/>
      <c r="L25" s="438"/>
      <c r="N25" s="438"/>
      <c r="O25" s="438"/>
      <c r="P25" s="438"/>
      <c r="Q25" s="438"/>
    </row>
    <row r="26" spans="1:20" ht="15" customHeight="1" thickBot="1" x14ac:dyDescent="0.35">
      <c r="B26" s="425"/>
      <c r="C26" s="426"/>
      <c r="D26" s="426"/>
      <c r="E26" s="426"/>
      <c r="F26" s="427"/>
      <c r="I26" s="438"/>
      <c r="J26" s="438"/>
      <c r="K26" s="438"/>
      <c r="L26" s="438"/>
      <c r="N26" s="438"/>
      <c r="O26" s="438"/>
      <c r="P26" s="438"/>
      <c r="Q26" s="438"/>
    </row>
    <row r="27" spans="1:20" ht="15" customHeight="1" x14ac:dyDescent="0.3">
      <c r="I27" s="438"/>
      <c r="J27" s="438"/>
      <c r="K27" s="438"/>
      <c r="L27" s="438"/>
      <c r="N27" s="438"/>
      <c r="O27" s="438"/>
      <c r="P27" s="438"/>
      <c r="Q27" s="438"/>
    </row>
    <row r="28" spans="1:20" x14ac:dyDescent="0.3">
      <c r="I28" s="438"/>
      <c r="J28" s="438"/>
      <c r="K28" s="438"/>
      <c r="L28" s="438"/>
      <c r="N28" s="438"/>
      <c r="O28" s="438"/>
      <c r="P28" s="438"/>
      <c r="Q28" s="438"/>
    </row>
    <row r="29" spans="1:20" x14ac:dyDescent="0.3">
      <c r="I29" s="438"/>
      <c r="J29" s="438"/>
      <c r="K29" s="438"/>
      <c r="L29" s="438"/>
      <c r="N29" s="438"/>
      <c r="O29" s="438"/>
      <c r="P29" s="438"/>
      <c r="Q29" s="438"/>
    </row>
    <row r="30" spans="1:20" x14ac:dyDescent="0.3">
      <c r="I30" s="438"/>
      <c r="J30" s="438"/>
      <c r="K30" s="438"/>
      <c r="L30" s="438"/>
      <c r="N30" s="438"/>
      <c r="O30" s="438"/>
      <c r="P30" s="438"/>
      <c r="Q30" s="438"/>
    </row>
  </sheetData>
  <mergeCells count="18">
    <mergeCell ref="S14:Y14"/>
    <mergeCell ref="T4:W4"/>
    <mergeCell ref="T6:W6"/>
    <mergeCell ref="T8:W8"/>
    <mergeCell ref="T10:W10"/>
    <mergeCell ref="T12:W12"/>
    <mergeCell ref="B25:F26"/>
    <mergeCell ref="I16:Q17"/>
    <mergeCell ref="I20:Q20"/>
    <mergeCell ref="I21:L30"/>
    <mergeCell ref="N21:Q30"/>
    <mergeCell ref="B18:F19"/>
    <mergeCell ref="B22:F22"/>
    <mergeCell ref="I4:Q5"/>
    <mergeCell ref="I7:Q14"/>
    <mergeCell ref="B4:F10"/>
    <mergeCell ref="A1:F1"/>
    <mergeCell ref="B13:F15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5"/>
  <sheetViews>
    <sheetView workbookViewId="0">
      <selection activeCell="D6" sqref="D6"/>
    </sheetView>
  </sheetViews>
  <sheetFormatPr defaultRowHeight="14.4" x14ac:dyDescent="0.3"/>
  <cols>
    <col min="1" max="1" width="32.109375" customWidth="1"/>
    <col min="4" max="4" width="12.88671875" customWidth="1"/>
    <col min="5" max="5" width="13.44140625" customWidth="1"/>
    <col min="6" max="6" width="25.5546875" customWidth="1"/>
    <col min="7" max="7" width="23.33203125" customWidth="1"/>
    <col min="8" max="8" width="14.88671875" customWidth="1"/>
    <col min="9" max="9" width="17.6640625" customWidth="1"/>
    <col min="10" max="10" width="18.109375" customWidth="1"/>
    <col min="11" max="11" width="19.109375" customWidth="1"/>
    <col min="12" max="12" width="16.6640625" customWidth="1"/>
    <col min="13" max="13" width="23.109375" customWidth="1"/>
    <col min="14" max="14" width="16.109375" customWidth="1"/>
    <col min="15" max="15" width="27" customWidth="1"/>
    <col min="16" max="16" width="26.6640625" customWidth="1"/>
    <col min="17" max="17" width="21" customWidth="1"/>
    <col min="18" max="18" width="23.44140625" customWidth="1"/>
    <col min="19" max="19" width="19.33203125" customWidth="1"/>
    <col min="20" max="20" width="14.109375" customWidth="1"/>
    <col min="21" max="21" width="15.44140625" customWidth="1"/>
    <col min="22" max="22" width="26" customWidth="1"/>
  </cols>
  <sheetData>
    <row r="1" spans="1:23" ht="21" x14ac:dyDescent="0.3">
      <c r="A1" s="448" t="s">
        <v>23</v>
      </c>
      <c r="B1" s="448"/>
      <c r="C1" s="448"/>
      <c r="D1" s="448"/>
      <c r="E1" s="448"/>
      <c r="F1" s="448"/>
      <c r="G1" s="448"/>
      <c r="H1" s="448"/>
      <c r="I1" s="448"/>
      <c r="J1" s="448"/>
      <c r="K1" s="448"/>
      <c r="L1" s="448"/>
      <c r="M1" s="187"/>
      <c r="N1" s="187"/>
      <c r="O1" s="187"/>
      <c r="P1" s="187"/>
      <c r="Q1" s="187"/>
      <c r="R1" s="187"/>
      <c r="S1" s="187"/>
      <c r="T1" s="187"/>
      <c r="U1" s="187"/>
      <c r="V1" s="187"/>
    </row>
    <row r="2" spans="1:23" ht="21" x14ac:dyDescent="0.3">
      <c r="A2" s="448"/>
      <c r="B2" s="448"/>
      <c r="C2" s="448"/>
      <c r="D2" s="187"/>
      <c r="E2" s="187"/>
      <c r="F2" s="187"/>
      <c r="G2" s="187"/>
      <c r="H2" s="187"/>
      <c r="I2" s="187"/>
      <c r="J2" s="187"/>
      <c r="K2" s="187"/>
      <c r="L2" s="187"/>
      <c r="M2" s="187"/>
      <c r="N2" s="187"/>
      <c r="O2" s="187"/>
      <c r="P2" s="187"/>
      <c r="Q2" s="187"/>
      <c r="R2" s="187"/>
      <c r="S2" s="187"/>
      <c r="T2" s="187"/>
      <c r="U2" s="187"/>
      <c r="V2" s="187"/>
    </row>
    <row r="3" spans="1:23" ht="17.399999999999999" x14ac:dyDescent="0.3">
      <c r="A3" s="449" t="s">
        <v>24</v>
      </c>
      <c r="B3" s="449"/>
      <c r="C3" s="449"/>
      <c r="D3" s="188"/>
      <c r="F3" s="189"/>
      <c r="G3" s="189"/>
      <c r="H3" s="190"/>
      <c r="I3" s="190"/>
      <c r="J3" s="191"/>
      <c r="K3" s="192"/>
      <c r="L3" s="193"/>
      <c r="M3" s="194"/>
      <c r="N3" s="194"/>
      <c r="O3" s="194"/>
      <c r="P3" s="191"/>
      <c r="Q3" s="191"/>
      <c r="R3" s="194"/>
      <c r="S3" s="194"/>
      <c r="T3" s="194"/>
      <c r="U3" s="191"/>
      <c r="V3" s="191"/>
    </row>
    <row r="4" spans="1:23" ht="15" thickBot="1" x14ac:dyDescent="0.35">
      <c r="A4" s="13"/>
      <c r="B4" s="13"/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</row>
    <row r="5" spans="1:23" ht="31.8" thickBot="1" x14ac:dyDescent="0.35">
      <c r="A5" s="195" t="s">
        <v>25</v>
      </c>
      <c r="B5" s="196" t="s">
        <v>26</v>
      </c>
      <c r="C5" s="196" t="s">
        <v>27</v>
      </c>
      <c r="D5" s="197" t="s">
        <v>28</v>
      </c>
      <c r="E5" s="196" t="s">
        <v>29</v>
      </c>
      <c r="F5" s="197" t="s">
        <v>30</v>
      </c>
      <c r="G5" s="197" t="s">
        <v>31</v>
      </c>
      <c r="H5" s="197" t="s">
        <v>32</v>
      </c>
      <c r="I5" s="198" t="s">
        <v>33</v>
      </c>
      <c r="J5" s="199" t="s">
        <v>34</v>
      </c>
      <c r="K5" s="197" t="s">
        <v>35</v>
      </c>
      <c r="L5" s="200" t="s">
        <v>36</v>
      </c>
      <c r="M5" s="201" t="s">
        <v>37</v>
      </c>
      <c r="N5" s="196" t="s">
        <v>38</v>
      </c>
      <c r="O5" s="196" t="s">
        <v>39</v>
      </c>
      <c r="P5" s="197" t="s">
        <v>40</v>
      </c>
      <c r="Q5" s="197" t="s">
        <v>41</v>
      </c>
      <c r="R5" s="196" t="s">
        <v>42</v>
      </c>
      <c r="S5" s="196" t="s">
        <v>43</v>
      </c>
      <c r="T5" s="196" t="s">
        <v>44</v>
      </c>
      <c r="U5" s="197" t="s">
        <v>45</v>
      </c>
      <c r="V5" s="202" t="s">
        <v>46</v>
      </c>
      <c r="W5" s="8"/>
    </row>
  </sheetData>
  <mergeCells count="3">
    <mergeCell ref="A1:L1"/>
    <mergeCell ref="A3:C3"/>
    <mergeCell ref="A2:C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DD238-3B83-400E-B294-4FDF440121AD}">
  <dimension ref="A1:AQ480"/>
  <sheetViews>
    <sheetView topLeftCell="U1" zoomScaleNormal="100" zoomScaleSheetLayoutView="100" workbookViewId="0">
      <selection activeCell="AQ11" sqref="AQ11"/>
    </sheetView>
  </sheetViews>
  <sheetFormatPr defaultRowHeight="14.4" x14ac:dyDescent="0.3"/>
  <cols>
    <col min="1" max="1" width="7.44140625" bestFit="1" customWidth="1"/>
    <col min="2" max="2" width="26.44140625" style="7" customWidth="1"/>
    <col min="3" max="3" width="7.44140625" style="7" bestFit="1" customWidth="1"/>
    <col min="4" max="4" width="19.88671875" style="7" customWidth="1"/>
    <col min="5" max="5" width="22.44140625" style="7" customWidth="1"/>
    <col min="6" max="6" width="16" style="7" customWidth="1"/>
    <col min="7" max="7" width="13.109375" style="7" customWidth="1"/>
    <col min="8" max="8" width="15.6640625" style="7" bestFit="1" customWidth="1"/>
    <col min="9" max="9" width="6.6640625" style="7" bestFit="1" customWidth="1"/>
    <col min="10" max="10" width="5.6640625" style="7" customWidth="1"/>
    <col min="11" max="11" width="5.5546875" style="7" customWidth="1"/>
    <col min="12" max="12" width="6.109375" style="7" customWidth="1"/>
    <col min="13" max="13" width="6.33203125" style="7" customWidth="1"/>
    <col min="14" max="15" width="16.109375" style="7" customWidth="1"/>
    <col min="16" max="16" width="10" style="7" customWidth="1"/>
    <col min="17" max="20" width="16.109375" style="7" customWidth="1"/>
    <col min="21" max="21" width="7.5546875" style="46" customWidth="1"/>
    <col min="22" max="22" width="9.44140625" style="46" customWidth="1"/>
    <col min="23" max="23" width="16.109375" style="7" customWidth="1"/>
    <col min="24" max="24" width="20" style="7" customWidth="1"/>
    <col min="25" max="25" width="12.109375" style="7" customWidth="1"/>
    <col min="26" max="26" width="5.44140625" style="7" customWidth="1"/>
    <col min="27" max="27" width="5.44140625" style="46" customWidth="1"/>
    <col min="28" max="28" width="5.44140625" style="7" customWidth="1"/>
    <col min="29" max="29" width="12.109375" style="7" customWidth="1"/>
    <col min="30" max="31" width="5.44140625" style="7" customWidth="1"/>
    <col min="32" max="32" width="12.109375" style="7" customWidth="1"/>
    <col min="33" max="34" width="5.44140625" style="7" customWidth="1"/>
    <col min="35" max="35" width="12.109375" style="7" customWidth="1"/>
    <col min="36" max="36" width="5.44140625" style="7" customWidth="1"/>
    <col min="37" max="37" width="12.109375" style="12" customWidth="1"/>
    <col min="38" max="39" width="5.44140625" style="12" customWidth="1"/>
    <col min="40" max="40" width="12.109375" style="12" customWidth="1"/>
    <col min="41" max="41" width="5.44140625" style="12" customWidth="1"/>
    <col min="42" max="42" width="37.5546875" style="12" customWidth="1"/>
    <col min="43" max="43" width="39.109375" customWidth="1"/>
  </cols>
  <sheetData>
    <row r="1" spans="1:43" ht="21" customHeight="1" thickBot="1" x14ac:dyDescent="0.35"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457" t="s">
        <v>47</v>
      </c>
      <c r="Z1" s="458"/>
      <c r="AA1" s="458"/>
      <c r="AB1" s="458"/>
      <c r="AC1" s="458"/>
      <c r="AD1" s="458"/>
      <c r="AE1" s="458"/>
      <c r="AF1" s="458"/>
      <c r="AG1" s="458"/>
      <c r="AH1" s="458"/>
      <c r="AI1" s="458"/>
      <c r="AJ1" s="458"/>
      <c r="AK1" s="458"/>
      <c r="AL1" s="458"/>
      <c r="AM1" s="458"/>
      <c r="AN1" s="458"/>
      <c r="AO1" s="459"/>
    </row>
    <row r="2" spans="1:43" ht="26.25" customHeight="1" thickBot="1" x14ac:dyDescent="0.35">
      <c r="B2" s="12"/>
      <c r="C2" s="12"/>
      <c r="D2" s="12"/>
      <c r="E2" s="12"/>
      <c r="F2" s="12"/>
      <c r="G2" s="12"/>
      <c r="H2" s="12"/>
      <c r="I2" s="12"/>
      <c r="J2" s="460" t="s">
        <v>48</v>
      </c>
      <c r="K2" s="461"/>
      <c r="L2" s="461"/>
      <c r="M2" s="462"/>
      <c r="N2" s="12"/>
      <c r="O2" s="12"/>
      <c r="P2" s="12"/>
      <c r="Q2" s="12"/>
      <c r="R2" s="12"/>
      <c r="S2" s="12"/>
      <c r="T2" s="12"/>
      <c r="U2" s="475" t="s">
        <v>49</v>
      </c>
      <c r="V2" s="476"/>
      <c r="W2" s="12"/>
      <c r="X2" s="12"/>
      <c r="Y2" s="463" t="s">
        <v>50</v>
      </c>
      <c r="Z2" s="464"/>
      <c r="AA2" s="465"/>
      <c r="AB2" s="466"/>
      <c r="AC2" s="467" t="s">
        <v>51</v>
      </c>
      <c r="AD2" s="468"/>
      <c r="AE2" s="469"/>
      <c r="AF2" s="470" t="s">
        <v>52</v>
      </c>
      <c r="AG2" s="471"/>
      <c r="AH2" s="472"/>
      <c r="AI2" s="473" t="s">
        <v>53</v>
      </c>
      <c r="AJ2" s="474"/>
      <c r="AK2" s="452" t="s">
        <v>54</v>
      </c>
      <c r="AL2" s="453"/>
      <c r="AM2" s="454"/>
      <c r="AN2" s="455" t="s">
        <v>55</v>
      </c>
      <c r="AO2" s="456"/>
    </row>
    <row r="3" spans="1:43" ht="155.25" customHeight="1" x14ac:dyDescent="0.3">
      <c r="A3" s="83" t="s">
        <v>56</v>
      </c>
      <c r="B3" s="271" t="s">
        <v>57</v>
      </c>
      <c r="C3" s="272" t="s">
        <v>58</v>
      </c>
      <c r="D3" s="272" t="s">
        <v>59</v>
      </c>
      <c r="E3" s="273" t="s">
        <v>60</v>
      </c>
      <c r="F3" s="272" t="s">
        <v>61</v>
      </c>
      <c r="G3" s="272" t="s">
        <v>62</v>
      </c>
      <c r="H3" s="274" t="s">
        <v>63</v>
      </c>
      <c r="I3" s="272" t="s">
        <v>64</v>
      </c>
      <c r="J3" s="274" t="s">
        <v>65</v>
      </c>
      <c r="K3" s="274" t="s">
        <v>66</v>
      </c>
      <c r="L3" s="274" t="s">
        <v>67</v>
      </c>
      <c r="M3" s="274" t="s">
        <v>68</v>
      </c>
      <c r="N3" s="274" t="s">
        <v>69</v>
      </c>
      <c r="O3" s="274" t="s">
        <v>70</v>
      </c>
      <c r="P3" s="274" t="s">
        <v>71</v>
      </c>
      <c r="Q3" s="274" t="s">
        <v>72</v>
      </c>
      <c r="R3" s="272" t="s">
        <v>73</v>
      </c>
      <c r="S3" s="272" t="s">
        <v>74</v>
      </c>
      <c r="T3" s="272" t="s">
        <v>75</v>
      </c>
      <c r="U3" s="275" t="s">
        <v>76</v>
      </c>
      <c r="V3" s="275" t="s">
        <v>77</v>
      </c>
      <c r="W3" s="274" t="s">
        <v>78</v>
      </c>
      <c r="X3" s="276" t="s">
        <v>79</v>
      </c>
      <c r="Y3" s="277" t="s">
        <v>80</v>
      </c>
      <c r="Z3" s="278" t="s">
        <v>81</v>
      </c>
      <c r="AA3" s="279" t="s">
        <v>82</v>
      </c>
      <c r="AB3" s="273" t="s">
        <v>83</v>
      </c>
      <c r="AC3" s="273" t="s">
        <v>80</v>
      </c>
      <c r="AD3" s="278" t="s">
        <v>81</v>
      </c>
      <c r="AE3" s="279" t="s">
        <v>82</v>
      </c>
      <c r="AF3" s="273" t="s">
        <v>80</v>
      </c>
      <c r="AG3" s="278" t="s">
        <v>84</v>
      </c>
      <c r="AH3" s="278" t="s">
        <v>85</v>
      </c>
      <c r="AI3" s="273" t="s">
        <v>80</v>
      </c>
      <c r="AJ3" s="278" t="s">
        <v>86</v>
      </c>
      <c r="AK3" s="273" t="s">
        <v>80</v>
      </c>
      <c r="AL3" s="279" t="s">
        <v>87</v>
      </c>
      <c r="AM3" s="279" t="s">
        <v>88</v>
      </c>
      <c r="AN3" s="273" t="s">
        <v>80</v>
      </c>
      <c r="AO3" s="280" t="s">
        <v>89</v>
      </c>
      <c r="AP3" s="281" t="s">
        <v>90</v>
      </c>
      <c r="AQ3" s="282" t="s">
        <v>91</v>
      </c>
    </row>
    <row r="4" spans="1:43" s="12" customFormat="1" x14ac:dyDescent="0.3">
      <c r="A4" s="450"/>
      <c r="B4" s="270">
        <v>702507341639136</v>
      </c>
      <c r="C4" s="46">
        <v>5256</v>
      </c>
      <c r="D4" s="46" t="s">
        <v>92</v>
      </c>
      <c r="E4" s="46" t="s">
        <v>93</v>
      </c>
      <c r="F4" s="46" t="s">
        <v>94</v>
      </c>
      <c r="G4" s="46" t="s">
        <v>95</v>
      </c>
      <c r="H4" s="215">
        <v>28717</v>
      </c>
      <c r="I4" s="290">
        <v>36</v>
      </c>
      <c r="J4" s="46">
        <v>11</v>
      </c>
      <c r="K4" s="46">
        <v>9</v>
      </c>
      <c r="L4" s="46">
        <v>2</v>
      </c>
      <c r="M4" s="46">
        <v>0</v>
      </c>
      <c r="N4" s="215">
        <v>44671</v>
      </c>
      <c r="O4" s="46" t="s">
        <v>96</v>
      </c>
      <c r="P4" s="46">
        <v>17</v>
      </c>
      <c r="Q4" s="46" t="s">
        <v>97</v>
      </c>
      <c r="R4" s="46" t="s">
        <v>97</v>
      </c>
      <c r="S4" s="46" t="s">
        <v>97</v>
      </c>
      <c r="T4" s="46" t="s">
        <v>97</v>
      </c>
      <c r="U4" s="46" t="s">
        <v>97</v>
      </c>
      <c r="V4" s="46"/>
      <c r="W4" s="215">
        <v>44949</v>
      </c>
      <c r="X4" s="46" t="s">
        <v>98</v>
      </c>
      <c r="Y4" s="215"/>
      <c r="Z4" s="46"/>
      <c r="AA4" s="46"/>
      <c r="AB4" s="46"/>
      <c r="AC4" s="215"/>
      <c r="AD4" s="46"/>
      <c r="AE4" s="46"/>
      <c r="AF4" s="215"/>
      <c r="AG4" s="46"/>
      <c r="AH4" s="46"/>
      <c r="AI4" s="215"/>
      <c r="AJ4" s="46"/>
      <c r="AK4" s="215"/>
      <c r="AL4" s="46"/>
      <c r="AM4" s="46"/>
      <c r="AN4" s="215"/>
      <c r="AO4" s="46"/>
      <c r="AP4" s="46" t="s">
        <v>99</v>
      </c>
      <c r="AQ4" s="46" t="s">
        <v>100</v>
      </c>
    </row>
    <row r="5" spans="1:43" s="12" customFormat="1" x14ac:dyDescent="0.3">
      <c r="A5" s="450"/>
      <c r="B5" s="216"/>
      <c r="C5" s="46">
        <v>12149</v>
      </c>
      <c r="D5" s="46" t="s">
        <v>92</v>
      </c>
      <c r="E5" s="46" t="s">
        <v>101</v>
      </c>
      <c r="F5" s="46" t="s">
        <v>102</v>
      </c>
      <c r="G5" s="46" t="s">
        <v>103</v>
      </c>
      <c r="H5" s="215">
        <v>38557</v>
      </c>
      <c r="I5" s="291">
        <f ca="1">INT((TODAY()-H5)/365.25)</f>
        <v>19</v>
      </c>
      <c r="J5" s="46">
        <v>1</v>
      </c>
      <c r="K5" s="46">
        <v>0</v>
      </c>
      <c r="L5" s="46">
        <v>0</v>
      </c>
      <c r="M5" s="46">
        <v>0</v>
      </c>
      <c r="N5" s="215" t="s">
        <v>104</v>
      </c>
      <c r="O5" s="46" t="s">
        <v>105</v>
      </c>
      <c r="P5" s="46" t="s">
        <v>106</v>
      </c>
      <c r="Q5" s="46">
        <v>31</v>
      </c>
      <c r="R5" s="46">
        <v>58</v>
      </c>
      <c r="S5" s="46">
        <v>1.54</v>
      </c>
      <c r="T5" s="46">
        <v>24.17</v>
      </c>
      <c r="U5" s="46" t="s">
        <v>107</v>
      </c>
      <c r="V5" s="46"/>
      <c r="W5" s="215">
        <v>44947</v>
      </c>
      <c r="X5" s="46" t="s">
        <v>98</v>
      </c>
      <c r="Y5" s="215">
        <v>44917</v>
      </c>
      <c r="Z5" s="46">
        <v>1</v>
      </c>
      <c r="AA5" s="46">
        <v>2</v>
      </c>
      <c r="AB5" s="46" t="s">
        <v>108</v>
      </c>
      <c r="AC5" s="215">
        <v>44917</v>
      </c>
      <c r="AD5" s="46">
        <v>1</v>
      </c>
      <c r="AE5" s="46">
        <v>2</v>
      </c>
      <c r="AF5" s="46"/>
      <c r="AG5" s="46"/>
      <c r="AH5" s="46"/>
      <c r="AI5" s="46"/>
      <c r="AJ5" s="46"/>
      <c r="AK5" s="46"/>
      <c r="AL5" s="46"/>
      <c r="AM5" s="46"/>
      <c r="AN5" s="46"/>
      <c r="AO5" s="46"/>
      <c r="AP5" s="46" t="s">
        <v>109</v>
      </c>
      <c r="AQ5" s="46" t="s">
        <v>110</v>
      </c>
    </row>
    <row r="6" spans="1:43" s="12" customFormat="1" x14ac:dyDescent="0.3">
      <c r="A6" s="450"/>
      <c r="B6" s="270">
        <v>898003454200883</v>
      </c>
      <c r="C6" s="46">
        <v>8243</v>
      </c>
      <c r="D6" s="46" t="s">
        <v>92</v>
      </c>
      <c r="E6" s="46" t="s">
        <v>111</v>
      </c>
      <c r="F6" s="46" t="s">
        <v>112</v>
      </c>
      <c r="G6" s="46" t="s">
        <v>111</v>
      </c>
      <c r="H6" s="215">
        <v>35657</v>
      </c>
      <c r="I6" s="290">
        <v>25</v>
      </c>
      <c r="J6" s="46">
        <v>3</v>
      </c>
      <c r="K6" s="46">
        <v>2</v>
      </c>
      <c r="L6" s="46">
        <v>0</v>
      </c>
      <c r="M6" s="46">
        <v>0</v>
      </c>
      <c r="N6" s="215">
        <v>44686</v>
      </c>
      <c r="O6" s="46" t="s">
        <v>113</v>
      </c>
      <c r="P6" s="46">
        <v>25</v>
      </c>
      <c r="Q6" s="46">
        <v>32</v>
      </c>
      <c r="R6" s="46">
        <v>70.7</v>
      </c>
      <c r="S6" s="46">
        <v>1.58</v>
      </c>
      <c r="T6" s="46">
        <v>28.3</v>
      </c>
      <c r="U6" s="46" t="s">
        <v>107</v>
      </c>
      <c r="V6" s="46"/>
      <c r="W6" s="215">
        <v>44944</v>
      </c>
      <c r="X6" s="46" t="s">
        <v>114</v>
      </c>
      <c r="Y6" s="215">
        <v>44834</v>
      </c>
      <c r="Z6" s="46">
        <v>1</v>
      </c>
      <c r="AA6" s="46">
        <v>2</v>
      </c>
      <c r="AB6" s="46" t="s">
        <v>108</v>
      </c>
      <c r="AC6" s="215">
        <v>44834</v>
      </c>
      <c r="AD6" s="46">
        <v>1</v>
      </c>
      <c r="AE6" s="46">
        <v>2</v>
      </c>
      <c r="AF6" s="215"/>
      <c r="AG6" s="46"/>
      <c r="AH6" s="46"/>
      <c r="AI6" s="215"/>
      <c r="AJ6" s="46"/>
      <c r="AK6" s="215"/>
      <c r="AL6" s="46"/>
      <c r="AM6" s="46"/>
      <c r="AN6" s="215"/>
      <c r="AO6" s="46"/>
      <c r="AP6" s="46" t="s">
        <v>115</v>
      </c>
      <c r="AQ6" s="46" t="s">
        <v>116</v>
      </c>
    </row>
    <row r="7" spans="1:43" s="12" customFormat="1" x14ac:dyDescent="0.3">
      <c r="A7" s="450"/>
      <c r="B7" s="216">
        <v>700500715718258</v>
      </c>
      <c r="C7" s="46">
        <v>10452</v>
      </c>
      <c r="D7" s="46" t="s">
        <v>92</v>
      </c>
      <c r="E7" s="46" t="s">
        <v>93</v>
      </c>
      <c r="F7" s="46" t="s">
        <v>117</v>
      </c>
      <c r="G7" s="46" t="s">
        <v>95</v>
      </c>
      <c r="H7" s="215">
        <v>37716</v>
      </c>
      <c r="I7" s="291">
        <f ca="1">INT((TODAY()-H7)/365.25)</f>
        <v>22</v>
      </c>
      <c r="J7" s="46">
        <v>2</v>
      </c>
      <c r="K7" s="46">
        <v>1</v>
      </c>
      <c r="L7" s="46">
        <v>0</v>
      </c>
      <c r="M7" s="46">
        <v>1</v>
      </c>
      <c r="N7" s="215">
        <v>44708</v>
      </c>
      <c r="O7" s="46" t="s">
        <v>118</v>
      </c>
      <c r="P7" s="46">
        <v>28</v>
      </c>
      <c r="Q7" s="46">
        <v>35</v>
      </c>
      <c r="R7" s="46">
        <v>68.099999999999994</v>
      </c>
      <c r="S7" s="46" t="s">
        <v>119</v>
      </c>
      <c r="T7" s="46">
        <v>28.02</v>
      </c>
      <c r="U7" s="46" t="s">
        <v>107</v>
      </c>
      <c r="V7" s="46"/>
      <c r="W7" s="215">
        <v>44948</v>
      </c>
      <c r="X7" s="46" t="s">
        <v>114</v>
      </c>
      <c r="Y7" s="215">
        <v>44884</v>
      </c>
      <c r="Z7" s="46">
        <v>1</v>
      </c>
      <c r="AA7" s="46">
        <v>2</v>
      </c>
      <c r="AB7" s="46" t="s">
        <v>108</v>
      </c>
      <c r="AC7" s="215">
        <v>44884</v>
      </c>
      <c r="AD7" s="46">
        <v>1</v>
      </c>
      <c r="AE7" s="46">
        <v>2</v>
      </c>
      <c r="AF7" s="215">
        <v>44914</v>
      </c>
      <c r="AG7" s="46" t="s">
        <v>120</v>
      </c>
      <c r="AH7" s="46"/>
      <c r="AI7" s="215">
        <v>44914</v>
      </c>
      <c r="AJ7" s="46">
        <v>62.4</v>
      </c>
      <c r="AK7" s="215">
        <v>44914</v>
      </c>
      <c r="AL7" s="46">
        <v>2</v>
      </c>
      <c r="AM7" s="46">
        <v>1</v>
      </c>
      <c r="AN7" s="215">
        <v>44914</v>
      </c>
      <c r="AO7" s="46">
        <v>1</v>
      </c>
      <c r="AP7" s="46" t="s">
        <v>121</v>
      </c>
      <c r="AQ7" s="46" t="s">
        <v>122</v>
      </c>
    </row>
    <row r="8" spans="1:43" s="12" customFormat="1" x14ac:dyDescent="0.3">
      <c r="A8" s="450"/>
      <c r="B8" s="270">
        <v>704300520821690</v>
      </c>
      <c r="C8" s="46">
        <v>12102</v>
      </c>
      <c r="D8" s="46" t="s">
        <v>92</v>
      </c>
      <c r="E8" s="46" t="s">
        <v>93</v>
      </c>
      <c r="F8" s="46" t="s">
        <v>123</v>
      </c>
      <c r="G8" s="46" t="s">
        <v>95</v>
      </c>
      <c r="H8" s="215">
        <v>38415</v>
      </c>
      <c r="I8" s="290">
        <f ca="1">INT((TODAY()-H8)/365.25)</f>
        <v>20</v>
      </c>
      <c r="J8" s="46">
        <v>2</v>
      </c>
      <c r="K8" s="46">
        <v>1</v>
      </c>
      <c r="L8" s="46">
        <v>0</v>
      </c>
      <c r="M8" s="46">
        <v>0</v>
      </c>
      <c r="N8" s="215">
        <v>44715</v>
      </c>
      <c r="O8" s="46" t="s">
        <v>124</v>
      </c>
      <c r="P8" s="46" t="s">
        <v>106</v>
      </c>
      <c r="Q8" s="46">
        <v>29</v>
      </c>
      <c r="R8" s="46">
        <v>55.6</v>
      </c>
      <c r="S8" s="46" t="s">
        <v>125</v>
      </c>
      <c r="T8" s="46">
        <v>29</v>
      </c>
      <c r="U8" s="46" t="s">
        <v>107</v>
      </c>
      <c r="V8" s="46"/>
      <c r="W8" s="215">
        <v>44948</v>
      </c>
      <c r="X8" s="46" t="s">
        <v>114</v>
      </c>
      <c r="Y8" s="215">
        <v>44822</v>
      </c>
      <c r="Z8" s="46">
        <v>1</v>
      </c>
      <c r="AA8" s="46">
        <v>2</v>
      </c>
      <c r="AB8" s="46" t="s">
        <v>126</v>
      </c>
      <c r="AC8" s="215">
        <v>44822</v>
      </c>
      <c r="AD8" s="46">
        <v>1</v>
      </c>
      <c r="AE8" s="46">
        <v>2</v>
      </c>
      <c r="AF8" s="46"/>
      <c r="AG8" s="46" t="s">
        <v>127</v>
      </c>
      <c r="AH8" s="46"/>
      <c r="AI8" s="46"/>
      <c r="AJ8" s="46"/>
      <c r="AK8" s="46"/>
      <c r="AL8" s="46"/>
      <c r="AM8" s="46"/>
      <c r="AN8" s="46"/>
      <c r="AO8" s="46"/>
      <c r="AP8" s="46" t="s">
        <v>121</v>
      </c>
      <c r="AQ8" s="46" t="s">
        <v>128</v>
      </c>
    </row>
    <row r="9" spans="1:43" s="12" customFormat="1" x14ac:dyDescent="0.3">
      <c r="A9" s="450"/>
      <c r="B9" s="216">
        <v>700002289746902</v>
      </c>
      <c r="C9" s="46">
        <v>6302</v>
      </c>
      <c r="D9" s="46" t="s">
        <v>92</v>
      </c>
      <c r="E9" s="46" t="s">
        <v>93</v>
      </c>
      <c r="F9" s="46" t="s">
        <v>129</v>
      </c>
      <c r="G9" s="46" t="s">
        <v>95</v>
      </c>
      <c r="H9" s="215">
        <v>31548</v>
      </c>
      <c r="I9" s="291">
        <f ca="1">INT((TODAY()-H9)/365.25)</f>
        <v>38</v>
      </c>
      <c r="J9" s="46">
        <v>7</v>
      </c>
      <c r="K9" s="46">
        <v>6</v>
      </c>
      <c r="L9" s="46">
        <v>0</v>
      </c>
      <c r="M9" s="46">
        <v>0</v>
      </c>
      <c r="N9" s="215">
        <v>44740</v>
      </c>
      <c r="O9" s="46" t="s">
        <v>130</v>
      </c>
      <c r="P9" s="46" t="s">
        <v>106</v>
      </c>
      <c r="Q9" s="46">
        <v>30</v>
      </c>
      <c r="R9" s="46">
        <v>72.400000000000006</v>
      </c>
      <c r="S9" s="46" t="s">
        <v>131</v>
      </c>
      <c r="T9" s="46">
        <v>30.16</v>
      </c>
      <c r="U9" s="46" t="s">
        <v>107</v>
      </c>
      <c r="V9" s="46"/>
      <c r="W9" s="215">
        <v>44949</v>
      </c>
      <c r="X9" s="46" t="s">
        <v>114</v>
      </c>
      <c r="Y9" s="215">
        <v>44822</v>
      </c>
      <c r="Z9" s="46">
        <v>1</v>
      </c>
      <c r="AA9" s="46">
        <v>2</v>
      </c>
      <c r="AB9" s="46" t="s">
        <v>108</v>
      </c>
      <c r="AC9" s="215">
        <v>44822</v>
      </c>
      <c r="AD9" s="46">
        <v>1</v>
      </c>
      <c r="AE9" s="46">
        <v>2</v>
      </c>
      <c r="AF9" s="46"/>
      <c r="AG9" s="46"/>
      <c r="AH9" s="46"/>
      <c r="AI9" s="46"/>
      <c r="AJ9" s="46"/>
      <c r="AK9" s="46"/>
      <c r="AL9" s="46"/>
      <c r="AM9" s="46"/>
      <c r="AN9" s="46"/>
      <c r="AO9" s="46"/>
      <c r="AP9" s="46" t="s">
        <v>132</v>
      </c>
      <c r="AQ9" s="46" t="s">
        <v>133</v>
      </c>
    </row>
    <row r="10" spans="1:43" s="12" customFormat="1" x14ac:dyDescent="0.3">
      <c r="A10" s="450"/>
      <c r="B10" s="270">
        <v>702606782343644</v>
      </c>
      <c r="C10" s="46">
        <v>7933</v>
      </c>
      <c r="D10" s="46" t="s">
        <v>92</v>
      </c>
      <c r="E10" s="46" t="s">
        <v>111</v>
      </c>
      <c r="F10" s="46" t="s">
        <v>134</v>
      </c>
      <c r="G10" s="46" t="s">
        <v>111</v>
      </c>
      <c r="H10" s="215">
        <v>35083</v>
      </c>
      <c r="I10" s="290">
        <v>27</v>
      </c>
      <c r="J10" s="46">
        <v>6</v>
      </c>
      <c r="K10" s="46">
        <v>5</v>
      </c>
      <c r="L10" s="46">
        <v>1</v>
      </c>
      <c r="M10" s="46">
        <v>0</v>
      </c>
      <c r="N10" s="215">
        <v>44751</v>
      </c>
      <c r="O10" s="46" t="s">
        <v>135</v>
      </c>
      <c r="P10" s="46">
        <v>13</v>
      </c>
      <c r="Q10" s="46">
        <v>26</v>
      </c>
      <c r="R10" s="46">
        <v>30.4</v>
      </c>
      <c r="S10" s="46">
        <v>1.45</v>
      </c>
      <c r="T10" s="46">
        <v>30.4</v>
      </c>
      <c r="U10" s="46" t="s">
        <v>107</v>
      </c>
      <c r="V10" s="46"/>
      <c r="W10" s="215">
        <v>44944</v>
      </c>
      <c r="X10" s="46" t="s">
        <v>114</v>
      </c>
      <c r="Y10" s="215">
        <v>44856</v>
      </c>
      <c r="Z10" s="46">
        <v>1</v>
      </c>
      <c r="AA10" s="46">
        <v>2</v>
      </c>
      <c r="AB10" s="46" t="s">
        <v>108</v>
      </c>
      <c r="AC10" s="215">
        <v>44841</v>
      </c>
      <c r="AD10" s="46">
        <v>1</v>
      </c>
      <c r="AE10" s="46">
        <v>2</v>
      </c>
      <c r="AF10" s="215">
        <v>44841</v>
      </c>
      <c r="AG10" s="46" t="s">
        <v>107</v>
      </c>
      <c r="AH10" s="46"/>
      <c r="AI10" s="215">
        <v>44841</v>
      </c>
      <c r="AJ10" s="46">
        <v>70</v>
      </c>
      <c r="AK10" s="215">
        <v>44841</v>
      </c>
      <c r="AL10" s="46">
        <v>2</v>
      </c>
      <c r="AM10" s="46">
        <v>1</v>
      </c>
      <c r="AN10" s="215">
        <v>44839</v>
      </c>
      <c r="AO10" s="46">
        <v>1</v>
      </c>
      <c r="AP10" s="46" t="s">
        <v>115</v>
      </c>
      <c r="AQ10" s="46" t="s">
        <v>116</v>
      </c>
    </row>
    <row r="11" spans="1:43" s="12" customFormat="1" x14ac:dyDescent="0.3">
      <c r="A11" s="450"/>
      <c r="B11" s="216">
        <v>898004503038119</v>
      </c>
      <c r="C11" s="46">
        <v>8738</v>
      </c>
      <c r="D11" s="46" t="s">
        <v>92</v>
      </c>
      <c r="E11" s="46" t="s">
        <v>136</v>
      </c>
      <c r="F11" s="46" t="s">
        <v>137</v>
      </c>
      <c r="G11" s="46" t="s">
        <v>103</v>
      </c>
      <c r="H11" s="215">
        <v>36431</v>
      </c>
      <c r="I11" s="291">
        <f ca="1">INT((TODAY()-H11)/365.25)</f>
        <v>25</v>
      </c>
      <c r="J11" s="46">
        <v>1</v>
      </c>
      <c r="K11" s="46">
        <v>0</v>
      </c>
      <c r="L11" s="46">
        <v>0</v>
      </c>
      <c r="M11" s="46">
        <v>0</v>
      </c>
      <c r="N11" s="215">
        <v>44752</v>
      </c>
      <c r="O11" s="46" t="s">
        <v>138</v>
      </c>
      <c r="P11" s="46" t="s">
        <v>106</v>
      </c>
      <c r="Q11" s="46">
        <v>26</v>
      </c>
      <c r="R11" s="46">
        <v>86.6</v>
      </c>
      <c r="S11" s="46">
        <v>1.6</v>
      </c>
      <c r="T11" s="46">
        <v>33.799999999999997</v>
      </c>
      <c r="U11" s="46" t="s">
        <v>107</v>
      </c>
      <c r="V11" s="46"/>
      <c r="W11" s="215">
        <v>44936</v>
      </c>
      <c r="X11" s="46" t="s">
        <v>114</v>
      </c>
      <c r="Y11" s="215">
        <v>44946</v>
      </c>
      <c r="Z11" s="46">
        <v>2</v>
      </c>
      <c r="AA11" s="46">
        <v>2</v>
      </c>
      <c r="AB11" s="46" t="s">
        <v>108</v>
      </c>
      <c r="AC11" s="215">
        <v>44946</v>
      </c>
      <c r="AD11" s="46">
        <v>2</v>
      </c>
      <c r="AE11" s="46">
        <v>2</v>
      </c>
      <c r="AF11" s="215">
        <v>44946</v>
      </c>
      <c r="AG11" s="46" t="s">
        <v>107</v>
      </c>
      <c r="AH11" s="46"/>
      <c r="AI11" s="215">
        <v>44946</v>
      </c>
      <c r="AJ11" s="46">
        <v>70</v>
      </c>
      <c r="AK11" s="215">
        <v>44946</v>
      </c>
      <c r="AL11" s="46">
        <v>2</v>
      </c>
      <c r="AM11" s="46">
        <v>1</v>
      </c>
      <c r="AN11" s="215">
        <v>44946</v>
      </c>
      <c r="AO11" s="46">
        <v>1</v>
      </c>
      <c r="AP11" s="46" t="s">
        <v>139</v>
      </c>
      <c r="AQ11" s="46" t="s">
        <v>140</v>
      </c>
    </row>
    <row r="12" spans="1:43" s="12" customFormat="1" x14ac:dyDescent="0.3">
      <c r="A12" s="450"/>
      <c r="B12" s="270">
        <v>898004051998209</v>
      </c>
      <c r="C12" s="46">
        <v>7923</v>
      </c>
      <c r="D12" s="46" t="s">
        <v>92</v>
      </c>
      <c r="E12" s="46" t="s">
        <v>93</v>
      </c>
      <c r="F12" s="46" t="s">
        <v>141</v>
      </c>
      <c r="G12" s="46" t="s">
        <v>95</v>
      </c>
      <c r="H12" s="215">
        <v>34970</v>
      </c>
      <c r="I12" s="290">
        <f ca="1">INT((TODAY()-H12)/365.25)</f>
        <v>29</v>
      </c>
      <c r="J12" s="46">
        <v>4</v>
      </c>
      <c r="K12" s="46">
        <v>3</v>
      </c>
      <c r="L12" s="46">
        <v>1</v>
      </c>
      <c r="M12" s="46">
        <v>0</v>
      </c>
      <c r="N12" s="215">
        <v>44755</v>
      </c>
      <c r="O12" s="46" t="s">
        <v>135</v>
      </c>
      <c r="P12" s="46" t="s">
        <v>142</v>
      </c>
      <c r="Q12" s="46">
        <v>26</v>
      </c>
      <c r="R12" s="46">
        <v>57.7</v>
      </c>
      <c r="S12" s="46" t="s">
        <v>131</v>
      </c>
      <c r="T12" s="46">
        <v>24.04</v>
      </c>
      <c r="U12" s="46" t="s">
        <v>107</v>
      </c>
      <c r="V12" s="46"/>
      <c r="W12" s="215">
        <v>44948</v>
      </c>
      <c r="X12" s="46" t="s">
        <v>114</v>
      </c>
      <c r="Y12" s="215">
        <v>44885</v>
      </c>
      <c r="Z12" s="46">
        <v>1</v>
      </c>
      <c r="AA12" s="46">
        <v>2</v>
      </c>
      <c r="AB12" s="46" t="s">
        <v>108</v>
      </c>
      <c r="AC12" s="215">
        <v>44885</v>
      </c>
      <c r="AD12" s="46">
        <v>1</v>
      </c>
      <c r="AE12" s="46">
        <v>2</v>
      </c>
      <c r="AF12" s="215">
        <v>44915</v>
      </c>
      <c r="AG12" s="46" t="s">
        <v>120</v>
      </c>
      <c r="AH12" s="46"/>
      <c r="AI12" s="215">
        <v>44915</v>
      </c>
      <c r="AJ12" s="46">
        <v>67.400000000000006</v>
      </c>
      <c r="AK12" s="215">
        <v>44915</v>
      </c>
      <c r="AL12" s="46">
        <v>2</v>
      </c>
      <c r="AM12" s="46">
        <v>1</v>
      </c>
      <c r="AN12" s="215">
        <v>44915</v>
      </c>
      <c r="AO12" s="46">
        <v>1</v>
      </c>
      <c r="AP12" s="46" t="s">
        <v>121</v>
      </c>
      <c r="AQ12" s="46" t="s">
        <v>116</v>
      </c>
    </row>
    <row r="13" spans="1:43" s="12" customFormat="1" x14ac:dyDescent="0.3">
      <c r="A13" s="450"/>
      <c r="B13" s="270">
        <v>701000884199994</v>
      </c>
      <c r="C13" s="46">
        <v>8159</v>
      </c>
      <c r="D13" s="46" t="s">
        <v>92</v>
      </c>
      <c r="E13" s="46" t="s">
        <v>143</v>
      </c>
      <c r="F13" s="46" t="s">
        <v>144</v>
      </c>
      <c r="G13" s="46" t="s">
        <v>145</v>
      </c>
      <c r="H13" s="215">
        <v>35689</v>
      </c>
      <c r="I13" s="290">
        <f ca="1">INT((TODAY()-H13)/365.25)</f>
        <v>27</v>
      </c>
      <c r="J13" s="46">
        <v>3</v>
      </c>
      <c r="K13" s="46">
        <v>2</v>
      </c>
      <c r="L13" s="46">
        <v>0</v>
      </c>
      <c r="M13" s="46">
        <v>0</v>
      </c>
      <c r="N13" s="215">
        <v>44780</v>
      </c>
      <c r="O13" s="46">
        <v>25</v>
      </c>
      <c r="P13" s="46" t="s">
        <v>106</v>
      </c>
      <c r="Q13" s="46">
        <v>20</v>
      </c>
      <c r="R13" s="46">
        <v>45.8</v>
      </c>
      <c r="S13" s="46" t="s">
        <v>146</v>
      </c>
      <c r="T13" s="46">
        <v>20.399999999999999</v>
      </c>
      <c r="U13" s="46" t="s">
        <v>107</v>
      </c>
      <c r="V13" s="46"/>
      <c r="W13" s="215">
        <v>44956</v>
      </c>
      <c r="X13" s="46" t="s">
        <v>114</v>
      </c>
      <c r="Y13" s="215">
        <v>44826</v>
      </c>
      <c r="Z13" s="46">
        <v>2</v>
      </c>
      <c r="AA13" s="46">
        <v>2</v>
      </c>
      <c r="AB13" s="46" t="s">
        <v>126</v>
      </c>
      <c r="AC13" s="215">
        <v>44826</v>
      </c>
      <c r="AD13" s="46">
        <v>2</v>
      </c>
      <c r="AE13" s="46">
        <v>2</v>
      </c>
      <c r="AF13" s="215">
        <v>44826</v>
      </c>
      <c r="AG13" s="46" t="s">
        <v>107</v>
      </c>
      <c r="AH13" s="46"/>
      <c r="AI13" s="215">
        <v>44826</v>
      </c>
      <c r="AJ13" s="46">
        <v>68</v>
      </c>
      <c r="AK13" s="215">
        <v>44826</v>
      </c>
      <c r="AL13" s="46">
        <v>2</v>
      </c>
      <c r="AM13" s="46">
        <v>1</v>
      </c>
      <c r="AN13" s="215">
        <v>44826</v>
      </c>
      <c r="AO13" s="46">
        <v>1</v>
      </c>
      <c r="AP13" s="46" t="s">
        <v>147</v>
      </c>
      <c r="AQ13" s="46" t="s">
        <v>148</v>
      </c>
    </row>
    <row r="14" spans="1:43" s="12" customFormat="1" x14ac:dyDescent="0.3">
      <c r="A14" s="450"/>
      <c r="B14" s="270">
        <v>703402264576311</v>
      </c>
      <c r="C14" s="46">
        <v>8757</v>
      </c>
      <c r="D14" s="46" t="s">
        <v>92</v>
      </c>
      <c r="E14" s="46" t="s">
        <v>149</v>
      </c>
      <c r="F14" s="46" t="s">
        <v>150</v>
      </c>
      <c r="G14" s="46" t="s">
        <v>151</v>
      </c>
      <c r="H14" s="215">
        <v>36525</v>
      </c>
      <c r="I14" s="290">
        <v>23</v>
      </c>
      <c r="J14" s="46">
        <v>3</v>
      </c>
      <c r="K14" s="46">
        <v>2</v>
      </c>
      <c r="L14" s="46">
        <v>1</v>
      </c>
      <c r="M14" s="46">
        <v>0</v>
      </c>
      <c r="N14" s="215">
        <v>44798</v>
      </c>
      <c r="O14" s="46">
        <v>20</v>
      </c>
      <c r="P14" s="46">
        <v>19</v>
      </c>
      <c r="Q14" s="46">
        <v>19</v>
      </c>
      <c r="R14" s="46"/>
      <c r="S14" s="46">
        <v>1.51</v>
      </c>
      <c r="T14" s="46"/>
      <c r="U14" s="46" t="s">
        <v>107</v>
      </c>
      <c r="V14" s="46"/>
      <c r="W14" s="215">
        <v>44938</v>
      </c>
      <c r="X14" s="46" t="s">
        <v>114</v>
      </c>
      <c r="Y14" s="215"/>
      <c r="Z14" s="46"/>
      <c r="AA14" s="46"/>
      <c r="AB14" s="46"/>
      <c r="AC14" s="215"/>
      <c r="AD14" s="46"/>
      <c r="AE14" s="46"/>
      <c r="AF14" s="215"/>
      <c r="AG14" s="46"/>
      <c r="AH14" s="46"/>
      <c r="AI14" s="215"/>
      <c r="AJ14" s="46"/>
      <c r="AK14" s="215"/>
      <c r="AL14" s="46"/>
      <c r="AM14" s="46"/>
      <c r="AN14" s="215"/>
      <c r="AO14" s="46"/>
      <c r="AP14" s="46" t="s">
        <v>152</v>
      </c>
      <c r="AQ14" s="46" t="s">
        <v>153</v>
      </c>
    </row>
    <row r="15" spans="1:43" s="12" customFormat="1" x14ac:dyDescent="0.3">
      <c r="A15" s="450"/>
      <c r="B15" s="270">
        <v>898004538272657</v>
      </c>
      <c r="C15" s="46">
        <v>7265</v>
      </c>
      <c r="D15" s="46" t="s">
        <v>92</v>
      </c>
      <c r="E15" s="46" t="s">
        <v>154</v>
      </c>
      <c r="F15" s="46" t="s">
        <v>155</v>
      </c>
      <c r="G15" s="46" t="s">
        <v>151</v>
      </c>
      <c r="H15" s="215">
        <v>33747</v>
      </c>
      <c r="I15" s="46">
        <v>30</v>
      </c>
      <c r="J15" s="46">
        <v>10</v>
      </c>
      <c r="K15" s="46">
        <v>5</v>
      </c>
      <c r="L15" s="46">
        <v>4</v>
      </c>
      <c r="M15" s="46">
        <v>0</v>
      </c>
      <c r="N15" s="215">
        <v>44801</v>
      </c>
      <c r="O15" s="46" t="s">
        <v>156</v>
      </c>
      <c r="P15" s="46">
        <v>19</v>
      </c>
      <c r="Q15" s="46">
        <v>19</v>
      </c>
      <c r="R15" s="46">
        <v>71</v>
      </c>
      <c r="S15" s="46">
        <v>1.51</v>
      </c>
      <c r="T15" s="46">
        <v>31</v>
      </c>
      <c r="U15" s="46" t="s">
        <v>107</v>
      </c>
      <c r="V15" s="46"/>
      <c r="W15" s="215">
        <v>44938</v>
      </c>
      <c r="X15" s="46" t="s">
        <v>114</v>
      </c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 t="s">
        <v>157</v>
      </c>
      <c r="AQ15" s="46" t="s">
        <v>116</v>
      </c>
    </row>
    <row r="16" spans="1:43" s="12" customFormat="1" x14ac:dyDescent="0.3">
      <c r="A16" s="450"/>
      <c r="B16" s="216" t="s">
        <v>158</v>
      </c>
      <c r="C16" s="46"/>
      <c r="D16" s="46" t="s">
        <v>92</v>
      </c>
      <c r="E16" s="46" t="s">
        <v>101</v>
      </c>
      <c r="F16" s="46" t="s">
        <v>159</v>
      </c>
      <c r="G16" s="46" t="s">
        <v>103</v>
      </c>
      <c r="H16" s="215">
        <v>39264</v>
      </c>
      <c r="I16" s="291">
        <f ca="1">INT((TODAY()-H16)/365.25)</f>
        <v>17</v>
      </c>
      <c r="J16" s="46">
        <v>1</v>
      </c>
      <c r="K16" s="46">
        <v>0</v>
      </c>
      <c r="L16" s="46">
        <v>0</v>
      </c>
      <c r="M16" s="46">
        <v>0</v>
      </c>
      <c r="N16" s="215">
        <v>44819</v>
      </c>
      <c r="O16" s="46">
        <v>18</v>
      </c>
      <c r="P16" s="46">
        <v>15</v>
      </c>
      <c r="Q16" s="46">
        <v>19</v>
      </c>
      <c r="R16" s="46">
        <v>45.5</v>
      </c>
      <c r="S16" s="46">
        <v>1.51</v>
      </c>
      <c r="T16" s="46">
        <v>19.95</v>
      </c>
      <c r="U16" s="46" t="s">
        <v>107</v>
      </c>
      <c r="V16" s="46"/>
      <c r="W16" s="215">
        <v>44945</v>
      </c>
      <c r="X16" s="46" t="s">
        <v>114</v>
      </c>
      <c r="Y16" s="215">
        <v>44917</v>
      </c>
      <c r="Z16" s="46">
        <v>1</v>
      </c>
      <c r="AA16" s="46">
        <v>2</v>
      </c>
      <c r="AB16" s="46" t="s">
        <v>108</v>
      </c>
      <c r="AC16" s="215">
        <v>44917</v>
      </c>
      <c r="AD16" s="46">
        <v>1</v>
      </c>
      <c r="AE16" s="46">
        <v>2</v>
      </c>
      <c r="AF16" s="46"/>
      <c r="AG16" s="46"/>
      <c r="AH16" s="46"/>
      <c r="AI16" s="46"/>
      <c r="AJ16" s="46"/>
      <c r="AK16" s="46"/>
      <c r="AL16" s="46"/>
      <c r="AM16" s="46"/>
      <c r="AN16" s="46"/>
      <c r="AO16" s="46"/>
      <c r="AP16" s="46" t="s">
        <v>160</v>
      </c>
      <c r="AQ16" s="46" t="s">
        <v>116</v>
      </c>
    </row>
    <row r="17" spans="1:43" s="12" customFormat="1" x14ac:dyDescent="0.3">
      <c r="A17" s="450"/>
      <c r="B17" s="288">
        <v>898001207363113</v>
      </c>
      <c r="C17" s="214">
        <v>12123</v>
      </c>
      <c r="D17" s="214" t="s">
        <v>92</v>
      </c>
      <c r="E17" s="214" t="s">
        <v>93</v>
      </c>
      <c r="F17" s="214" t="s">
        <v>161</v>
      </c>
      <c r="G17" s="214" t="s">
        <v>95</v>
      </c>
      <c r="H17" s="289">
        <v>38542</v>
      </c>
      <c r="I17" s="291">
        <f t="shared" ref="I17:I76" ca="1" si="0">INT((TODAY()-H17)/365.25)</f>
        <v>19</v>
      </c>
      <c r="J17" s="214">
        <v>2</v>
      </c>
      <c r="K17" s="214">
        <v>0</v>
      </c>
      <c r="L17" s="214">
        <v>1</v>
      </c>
      <c r="M17" s="214">
        <v>0</v>
      </c>
      <c r="N17" s="289">
        <v>44825</v>
      </c>
      <c r="O17" s="214" t="s">
        <v>162</v>
      </c>
      <c r="P17" s="214" t="s">
        <v>106</v>
      </c>
      <c r="Q17" s="214">
        <v>20</v>
      </c>
      <c r="R17" s="214">
        <v>66</v>
      </c>
      <c r="S17" s="214" t="s">
        <v>131</v>
      </c>
      <c r="T17" s="214">
        <v>27.4</v>
      </c>
      <c r="U17" s="214" t="s">
        <v>107</v>
      </c>
      <c r="V17" s="214"/>
      <c r="W17" s="289">
        <v>44948</v>
      </c>
      <c r="X17" s="214" t="s">
        <v>114</v>
      </c>
      <c r="Y17" s="289">
        <v>44885</v>
      </c>
      <c r="Z17" s="214">
        <v>1</v>
      </c>
      <c r="AA17" s="214">
        <v>2</v>
      </c>
      <c r="AB17" s="214" t="s">
        <v>108</v>
      </c>
      <c r="AC17" s="289">
        <v>44885</v>
      </c>
      <c r="AD17" s="214">
        <v>1</v>
      </c>
      <c r="AE17" s="214">
        <v>2</v>
      </c>
      <c r="AF17" s="214"/>
      <c r="AG17" s="214"/>
      <c r="AH17" s="214"/>
      <c r="AI17" s="214"/>
      <c r="AJ17" s="214"/>
      <c r="AK17" s="214"/>
      <c r="AL17" s="214"/>
      <c r="AM17" s="214"/>
      <c r="AN17" s="214"/>
      <c r="AO17" s="214"/>
      <c r="AP17" s="214" t="s">
        <v>121</v>
      </c>
      <c r="AQ17" s="214" t="s">
        <v>116</v>
      </c>
    </row>
    <row r="18" spans="1:43" s="12" customFormat="1" x14ac:dyDescent="0.3">
      <c r="A18" s="450"/>
      <c r="B18" s="270">
        <v>703109384987660</v>
      </c>
      <c r="C18" s="46">
        <v>6934</v>
      </c>
      <c r="D18" s="46" t="s">
        <v>92</v>
      </c>
      <c r="E18" s="46" t="s">
        <v>111</v>
      </c>
      <c r="F18" s="46" t="s">
        <v>163</v>
      </c>
      <c r="G18" s="46" t="s">
        <v>111</v>
      </c>
      <c r="H18" s="215">
        <v>32735</v>
      </c>
      <c r="I18" s="46">
        <v>33</v>
      </c>
      <c r="J18" s="46">
        <v>9</v>
      </c>
      <c r="K18" s="46">
        <v>8</v>
      </c>
      <c r="L18" s="46">
        <v>1</v>
      </c>
      <c r="M18" s="46">
        <v>0</v>
      </c>
      <c r="N18" s="215">
        <v>44849</v>
      </c>
      <c r="O18" s="46" t="s">
        <v>164</v>
      </c>
      <c r="P18" s="46">
        <v>15</v>
      </c>
      <c r="Q18" s="46">
        <v>15</v>
      </c>
      <c r="R18" s="46">
        <v>73.2</v>
      </c>
      <c r="S18" s="46">
        <v>1.47</v>
      </c>
      <c r="T18" s="46">
        <v>33.799999999999997</v>
      </c>
      <c r="U18" s="46" t="s">
        <v>107</v>
      </c>
      <c r="V18" s="46"/>
      <c r="W18" s="215">
        <v>44944</v>
      </c>
      <c r="X18" s="46" t="s">
        <v>114</v>
      </c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 t="s">
        <v>165</v>
      </c>
      <c r="AQ18" s="46" t="s">
        <v>116</v>
      </c>
    </row>
    <row r="19" spans="1:43" s="12" customFormat="1" x14ac:dyDescent="0.3">
      <c r="A19" s="450"/>
      <c r="B19" s="270">
        <v>707405094826279</v>
      </c>
      <c r="C19" s="46">
        <v>10618</v>
      </c>
      <c r="D19" s="46" t="s">
        <v>92</v>
      </c>
      <c r="E19" s="46" t="s">
        <v>166</v>
      </c>
      <c r="F19" s="46" t="s">
        <v>167</v>
      </c>
      <c r="G19" s="46" t="s">
        <v>95</v>
      </c>
      <c r="H19" s="215">
        <v>37898</v>
      </c>
      <c r="I19" s="290">
        <f t="shared" ca="1" si="0"/>
        <v>21</v>
      </c>
      <c r="J19" s="46">
        <v>1</v>
      </c>
      <c r="K19" s="46">
        <v>0</v>
      </c>
      <c r="L19" s="46">
        <v>0</v>
      </c>
      <c r="M19" s="46">
        <v>0</v>
      </c>
      <c r="N19" s="215">
        <v>44854</v>
      </c>
      <c r="O19" s="46" t="s">
        <v>168</v>
      </c>
      <c r="P19" s="46" t="s">
        <v>106</v>
      </c>
      <c r="Q19" s="46" t="s">
        <v>106</v>
      </c>
      <c r="R19" s="46">
        <v>56</v>
      </c>
      <c r="S19" s="46" t="s">
        <v>169</v>
      </c>
      <c r="T19" s="46" t="s">
        <v>170</v>
      </c>
      <c r="U19" s="46"/>
      <c r="V19" s="46" t="s">
        <v>107</v>
      </c>
      <c r="W19" s="215">
        <v>44914</v>
      </c>
      <c r="X19" s="46" t="s">
        <v>114</v>
      </c>
      <c r="Y19" s="215">
        <v>44914</v>
      </c>
      <c r="Z19" s="46">
        <v>1</v>
      </c>
      <c r="AA19" s="46">
        <v>2</v>
      </c>
      <c r="AB19" s="46" t="s">
        <v>108</v>
      </c>
      <c r="AC19" s="215">
        <v>44914</v>
      </c>
      <c r="AD19" s="46">
        <v>1</v>
      </c>
      <c r="AE19" s="46">
        <v>2</v>
      </c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 t="s">
        <v>171</v>
      </c>
      <c r="AQ19" s="46" t="s">
        <v>172</v>
      </c>
    </row>
    <row r="20" spans="1:43" x14ac:dyDescent="0.3">
      <c r="A20" s="450"/>
      <c r="B20" s="270">
        <v>700604973929564</v>
      </c>
      <c r="C20" s="46">
        <v>6955</v>
      </c>
      <c r="D20" s="46" t="s">
        <v>92</v>
      </c>
      <c r="E20" s="46" t="s">
        <v>173</v>
      </c>
      <c r="F20" s="46" t="s">
        <v>174</v>
      </c>
      <c r="G20" s="46" t="s">
        <v>145</v>
      </c>
      <c r="H20" s="215">
        <v>33039</v>
      </c>
      <c r="I20" s="46">
        <v>32</v>
      </c>
      <c r="J20" s="46">
        <v>6</v>
      </c>
      <c r="K20" s="46">
        <v>1</v>
      </c>
      <c r="L20" s="46">
        <v>3</v>
      </c>
      <c r="M20" s="46">
        <v>1</v>
      </c>
      <c r="N20" s="215">
        <v>44859</v>
      </c>
      <c r="O20" s="46" t="s">
        <v>175</v>
      </c>
      <c r="P20" s="46">
        <v>13</v>
      </c>
      <c r="Q20" s="46">
        <v>13</v>
      </c>
      <c r="R20" s="46">
        <v>72.400000000000006</v>
      </c>
      <c r="S20" s="46">
        <v>1.46</v>
      </c>
      <c r="T20" s="46">
        <v>33.9</v>
      </c>
      <c r="U20" s="46" t="s">
        <v>107</v>
      </c>
      <c r="W20" s="215">
        <v>44942</v>
      </c>
      <c r="X20" s="46" t="s">
        <v>98</v>
      </c>
      <c r="Y20" s="46"/>
      <c r="Z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 t="s">
        <v>176</v>
      </c>
      <c r="AQ20" s="46" t="s">
        <v>177</v>
      </c>
    </row>
    <row r="21" spans="1:43" x14ac:dyDescent="0.3">
      <c r="A21" s="450"/>
      <c r="B21" s="270">
        <v>700806401490680</v>
      </c>
      <c r="C21" s="46">
        <v>10465</v>
      </c>
      <c r="D21" s="46" t="s">
        <v>92</v>
      </c>
      <c r="E21" s="46" t="s">
        <v>178</v>
      </c>
      <c r="F21" s="46" t="s">
        <v>179</v>
      </c>
      <c r="G21" s="46" t="s">
        <v>136</v>
      </c>
      <c r="H21" s="215">
        <v>37790</v>
      </c>
      <c r="I21" s="46">
        <v>19</v>
      </c>
      <c r="J21" s="46">
        <v>3</v>
      </c>
      <c r="K21" s="46">
        <v>2</v>
      </c>
      <c r="L21" s="46">
        <v>0</v>
      </c>
      <c r="M21" s="46">
        <v>0</v>
      </c>
      <c r="N21" s="215">
        <v>44894</v>
      </c>
      <c r="O21" s="46">
        <v>15</v>
      </c>
      <c r="P21" s="46">
        <v>15</v>
      </c>
      <c r="Q21" s="46">
        <v>15</v>
      </c>
      <c r="R21" s="46">
        <v>57.4</v>
      </c>
      <c r="S21" s="46">
        <v>1.53</v>
      </c>
      <c r="T21" s="46">
        <v>24.5</v>
      </c>
      <c r="U21" s="46" t="s">
        <v>107</v>
      </c>
      <c r="W21" s="215">
        <v>44944</v>
      </c>
      <c r="X21" s="46" t="s">
        <v>114</v>
      </c>
      <c r="Y21" s="46"/>
      <c r="Z21" s="46"/>
      <c r="AB21" s="46"/>
      <c r="AC21" s="46"/>
      <c r="AD21" s="46"/>
      <c r="AE21" s="46"/>
      <c r="AF21" s="46"/>
      <c r="AG21" s="46"/>
      <c r="AH21" s="46"/>
      <c r="AI21" s="46"/>
      <c r="AJ21" s="46"/>
      <c r="AK21" s="46"/>
      <c r="AL21" s="46"/>
      <c r="AM21" s="46"/>
      <c r="AN21" s="46"/>
      <c r="AO21" s="46"/>
      <c r="AP21" s="46" t="s">
        <v>176</v>
      </c>
      <c r="AQ21" s="46" t="s">
        <v>116</v>
      </c>
    </row>
    <row r="22" spans="1:43" x14ac:dyDescent="0.3">
      <c r="A22" s="450"/>
      <c r="B22" s="270">
        <v>706202045524568</v>
      </c>
      <c r="C22" s="46">
        <v>10476</v>
      </c>
      <c r="D22" s="46" t="s">
        <v>92</v>
      </c>
      <c r="E22" s="46" t="s">
        <v>180</v>
      </c>
      <c r="F22" s="46" t="s">
        <v>181</v>
      </c>
      <c r="G22" s="46" t="s">
        <v>182</v>
      </c>
      <c r="H22" s="215">
        <v>37823</v>
      </c>
      <c r="I22" s="46">
        <v>19</v>
      </c>
      <c r="J22" s="46">
        <v>2</v>
      </c>
      <c r="K22" s="46">
        <v>1</v>
      </c>
      <c r="L22" s="46">
        <v>0</v>
      </c>
      <c r="M22" s="46">
        <v>0</v>
      </c>
      <c r="N22" s="215">
        <v>44900</v>
      </c>
      <c r="O22" s="46">
        <v>7</v>
      </c>
      <c r="P22" s="46">
        <v>0</v>
      </c>
      <c r="Q22" s="46">
        <v>0</v>
      </c>
      <c r="R22" s="46">
        <v>61.2</v>
      </c>
      <c r="S22" s="46">
        <v>1.51</v>
      </c>
      <c r="T22" s="46">
        <v>26.8</v>
      </c>
      <c r="V22" s="46" t="s">
        <v>107</v>
      </c>
      <c r="W22" s="215">
        <v>44949</v>
      </c>
      <c r="X22" s="46" t="s">
        <v>114</v>
      </c>
      <c r="Y22" s="215">
        <v>44949</v>
      </c>
      <c r="Z22" s="46">
        <v>1</v>
      </c>
      <c r="AA22" s="46">
        <v>2</v>
      </c>
      <c r="AB22" s="46" t="s">
        <v>108</v>
      </c>
      <c r="AC22" s="215">
        <v>44949</v>
      </c>
      <c r="AD22" s="46">
        <v>1</v>
      </c>
      <c r="AE22" s="46">
        <v>2</v>
      </c>
      <c r="AF22" s="215"/>
      <c r="AG22" s="46"/>
      <c r="AH22" s="46"/>
      <c r="AI22" s="46"/>
      <c r="AJ22" s="46"/>
      <c r="AK22" s="46"/>
      <c r="AL22" s="46"/>
      <c r="AM22" s="46"/>
      <c r="AN22" s="46"/>
      <c r="AO22" s="46"/>
      <c r="AP22" s="46" t="s">
        <v>183</v>
      </c>
      <c r="AQ22" s="46" t="s">
        <v>184</v>
      </c>
    </row>
    <row r="23" spans="1:43" x14ac:dyDescent="0.3">
      <c r="A23" s="450"/>
      <c r="B23" s="270"/>
      <c r="C23" s="46">
        <v>12108</v>
      </c>
      <c r="D23" s="46" t="s">
        <v>92</v>
      </c>
      <c r="E23" s="46" t="s">
        <v>185</v>
      </c>
      <c r="F23" s="46" t="s">
        <v>186</v>
      </c>
      <c r="G23" s="46" t="s">
        <v>103</v>
      </c>
      <c r="H23" s="215">
        <v>38491</v>
      </c>
      <c r="I23" s="229">
        <f t="shared" ca="1" si="0"/>
        <v>19</v>
      </c>
      <c r="J23" s="46">
        <v>1</v>
      </c>
      <c r="K23" s="46">
        <v>0</v>
      </c>
      <c r="L23" s="46">
        <v>0</v>
      </c>
      <c r="M23" s="46">
        <v>0</v>
      </c>
      <c r="N23" s="215">
        <v>44778</v>
      </c>
      <c r="O23" s="46" t="s">
        <v>187</v>
      </c>
      <c r="P23" s="46">
        <v>18</v>
      </c>
      <c r="Q23" s="46">
        <v>18</v>
      </c>
      <c r="R23" s="46">
        <v>44.75</v>
      </c>
      <c r="S23" s="46">
        <v>1.45</v>
      </c>
      <c r="T23" s="46">
        <v>21.3</v>
      </c>
      <c r="U23" s="46" t="s">
        <v>107</v>
      </c>
      <c r="W23" s="215">
        <v>44951</v>
      </c>
      <c r="X23" s="46" t="s">
        <v>114</v>
      </c>
      <c r="Y23" s="215"/>
      <c r="Z23" s="46"/>
      <c r="AB23" s="46"/>
      <c r="AC23" s="215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 t="s">
        <v>188</v>
      </c>
      <c r="AQ23" s="46" t="s">
        <v>189</v>
      </c>
    </row>
    <row r="24" spans="1:43" x14ac:dyDescent="0.3">
      <c r="A24" s="450"/>
      <c r="B24" s="216">
        <v>700500564452556</v>
      </c>
      <c r="C24" s="46">
        <v>7163</v>
      </c>
      <c r="D24" s="46" t="s">
        <v>92</v>
      </c>
      <c r="E24" s="46" t="s">
        <v>154</v>
      </c>
      <c r="F24" s="46" t="s">
        <v>190</v>
      </c>
      <c r="G24" s="46" t="s">
        <v>151</v>
      </c>
      <c r="H24" s="215">
        <v>33161</v>
      </c>
      <c r="I24" s="70">
        <f t="shared" ca="1" si="0"/>
        <v>34</v>
      </c>
      <c r="J24" s="46">
        <v>5</v>
      </c>
      <c r="K24" s="46">
        <v>3</v>
      </c>
      <c r="L24" s="46">
        <v>1</v>
      </c>
      <c r="M24" s="46">
        <v>0</v>
      </c>
      <c r="N24" s="215">
        <v>44749</v>
      </c>
      <c r="O24" s="46" t="s">
        <v>191</v>
      </c>
      <c r="P24" s="46" t="s">
        <v>192</v>
      </c>
      <c r="Q24" s="46">
        <v>28</v>
      </c>
      <c r="R24" s="46">
        <v>61.7</v>
      </c>
      <c r="S24" s="46">
        <v>1.49</v>
      </c>
      <c r="T24" s="46">
        <v>27.8</v>
      </c>
      <c r="U24" s="46" t="s">
        <v>107</v>
      </c>
      <c r="W24" s="215">
        <v>44957</v>
      </c>
      <c r="X24" s="46" t="s">
        <v>114</v>
      </c>
      <c r="Y24" s="215">
        <v>44957</v>
      </c>
      <c r="Z24" s="46">
        <v>1</v>
      </c>
      <c r="AA24" s="46">
        <v>2</v>
      </c>
      <c r="AB24" s="46" t="s">
        <v>126</v>
      </c>
      <c r="AC24" s="215">
        <v>44957</v>
      </c>
      <c r="AD24" s="46">
        <v>1</v>
      </c>
      <c r="AE24" s="46">
        <v>2</v>
      </c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 t="s">
        <v>147</v>
      </c>
      <c r="AQ24" s="46" t="s">
        <v>116</v>
      </c>
    </row>
    <row r="25" spans="1:43" x14ac:dyDescent="0.3">
      <c r="A25" s="450"/>
      <c r="B25" s="232" t="s">
        <v>193</v>
      </c>
      <c r="C25" s="46">
        <v>10577</v>
      </c>
      <c r="D25" s="46" t="s">
        <v>92</v>
      </c>
      <c r="E25" s="46" t="s">
        <v>101</v>
      </c>
      <c r="F25" s="46" t="s">
        <v>194</v>
      </c>
      <c r="G25" s="46" t="s">
        <v>101</v>
      </c>
      <c r="H25" s="215">
        <v>38056</v>
      </c>
      <c r="I25" s="70">
        <f t="shared" ca="1" si="0"/>
        <v>21</v>
      </c>
      <c r="J25" s="46">
        <v>2</v>
      </c>
      <c r="K25" s="46">
        <v>1</v>
      </c>
      <c r="L25" s="46">
        <v>0</v>
      </c>
      <c r="M25" s="46">
        <v>0</v>
      </c>
      <c r="N25" s="215">
        <v>44859</v>
      </c>
      <c r="O25" s="46" t="s">
        <v>195</v>
      </c>
      <c r="P25" s="46" t="s">
        <v>97</v>
      </c>
      <c r="Q25" s="46" t="s">
        <v>97</v>
      </c>
      <c r="R25" s="46">
        <v>47.2</v>
      </c>
      <c r="S25" s="46">
        <v>1.53</v>
      </c>
      <c r="T25" s="46">
        <v>20.2</v>
      </c>
      <c r="V25" s="46" t="s">
        <v>107</v>
      </c>
      <c r="W25" s="215">
        <v>44956</v>
      </c>
      <c r="X25" s="46" t="s">
        <v>114</v>
      </c>
      <c r="Y25" s="215">
        <v>44956</v>
      </c>
      <c r="Z25" s="46">
        <v>1</v>
      </c>
      <c r="AA25" s="46">
        <v>2</v>
      </c>
      <c r="AB25" s="46" t="s">
        <v>108</v>
      </c>
      <c r="AC25" s="215">
        <v>44956</v>
      </c>
      <c r="AD25" s="46">
        <v>1</v>
      </c>
      <c r="AE25" s="46">
        <v>2</v>
      </c>
      <c r="AF25" s="215"/>
      <c r="AG25" s="46"/>
      <c r="AH25" s="46"/>
      <c r="AI25" s="215"/>
      <c r="AJ25" s="46"/>
      <c r="AK25" s="215"/>
      <c r="AL25" s="46"/>
      <c r="AM25" s="46"/>
      <c r="AN25" s="215"/>
      <c r="AO25" s="46"/>
      <c r="AP25" s="46" t="s">
        <v>147</v>
      </c>
      <c r="AQ25" s="46" t="s">
        <v>116</v>
      </c>
    </row>
    <row r="26" spans="1:43" x14ac:dyDescent="0.3">
      <c r="A26" s="451"/>
      <c r="B26" s="232">
        <v>700201936625124</v>
      </c>
      <c r="C26" s="46">
        <v>5503</v>
      </c>
      <c r="D26" s="46" t="s">
        <v>92</v>
      </c>
      <c r="E26" s="46" t="s">
        <v>136</v>
      </c>
      <c r="F26" s="46" t="s">
        <v>196</v>
      </c>
      <c r="G26" s="46" t="s">
        <v>101</v>
      </c>
      <c r="H26" s="215">
        <v>30351</v>
      </c>
      <c r="I26" s="70">
        <f t="shared" ca="1" si="0"/>
        <v>42</v>
      </c>
      <c r="J26" s="46">
        <v>4</v>
      </c>
      <c r="K26" s="46">
        <v>3</v>
      </c>
      <c r="L26" s="46">
        <v>0</v>
      </c>
      <c r="M26" s="46">
        <v>0</v>
      </c>
      <c r="N26" s="215">
        <v>44857</v>
      </c>
      <c r="O26" s="46" t="s">
        <v>164</v>
      </c>
      <c r="P26" s="46">
        <v>13</v>
      </c>
      <c r="Q26" s="46">
        <v>13</v>
      </c>
      <c r="R26" s="46">
        <v>59.1</v>
      </c>
      <c r="S26" s="46">
        <v>1.47</v>
      </c>
      <c r="T26" s="46">
        <v>27.3</v>
      </c>
      <c r="U26" s="46" t="s">
        <v>107</v>
      </c>
      <c r="W26" s="215">
        <v>44952</v>
      </c>
      <c r="X26" s="46" t="s">
        <v>98</v>
      </c>
      <c r="Y26" s="215">
        <v>44952</v>
      </c>
      <c r="Z26" s="46">
        <v>1</v>
      </c>
      <c r="AA26" s="46">
        <v>2</v>
      </c>
      <c r="AB26" s="46" t="s">
        <v>108</v>
      </c>
      <c r="AC26" s="215">
        <v>44952</v>
      </c>
      <c r="AD26" s="46">
        <v>1</v>
      </c>
      <c r="AE26" s="46">
        <v>2</v>
      </c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 t="s">
        <v>147</v>
      </c>
      <c r="AQ26" s="46" t="s">
        <v>116</v>
      </c>
    </row>
    <row r="27" spans="1:43" x14ac:dyDescent="0.3">
      <c r="A27" s="63"/>
      <c r="B27" s="232"/>
      <c r="C27" s="46"/>
      <c r="D27" s="46"/>
      <c r="E27" s="46"/>
      <c r="F27" s="46"/>
      <c r="G27" s="46"/>
      <c r="H27" s="215"/>
      <c r="I27" s="70">
        <f t="shared" ca="1" si="0"/>
        <v>125</v>
      </c>
      <c r="J27" s="46"/>
      <c r="K27" s="46"/>
      <c r="L27" s="46"/>
      <c r="M27" s="46"/>
      <c r="N27" s="215"/>
      <c r="O27" s="46"/>
      <c r="P27" s="46"/>
      <c r="Q27" s="46"/>
      <c r="R27" s="46"/>
      <c r="S27" s="46"/>
      <c r="T27" s="46"/>
      <c r="W27" s="215"/>
      <c r="X27" s="46"/>
      <c r="Y27" s="215"/>
      <c r="Z27" s="46"/>
      <c r="AB27" s="46"/>
      <c r="AC27" s="215"/>
      <c r="AD27" s="46"/>
      <c r="AE27" s="46"/>
      <c r="AF27" s="46"/>
      <c r="AG27" s="46"/>
      <c r="AH27" s="46"/>
      <c r="AI27" s="46"/>
      <c r="AJ27" s="46"/>
      <c r="AK27" s="46"/>
      <c r="AL27" s="46"/>
      <c r="AM27" s="46"/>
      <c r="AN27" s="46"/>
      <c r="AO27" s="46"/>
      <c r="AP27" s="46"/>
      <c r="AQ27" s="41"/>
    </row>
    <row r="28" spans="1:43" x14ac:dyDescent="0.3">
      <c r="A28" s="63"/>
      <c r="B28" s="232"/>
      <c r="C28" s="46"/>
      <c r="D28" s="46"/>
      <c r="E28" s="46"/>
      <c r="F28" s="46"/>
      <c r="G28" s="46"/>
      <c r="H28" s="215"/>
      <c r="I28" s="70">
        <f t="shared" ca="1" si="0"/>
        <v>125</v>
      </c>
      <c r="J28" s="46"/>
      <c r="K28" s="46"/>
      <c r="L28" s="46"/>
      <c r="M28" s="46"/>
      <c r="N28" s="215"/>
      <c r="O28" s="46"/>
      <c r="P28" s="46"/>
      <c r="Q28" s="46"/>
      <c r="R28" s="46"/>
      <c r="S28" s="46"/>
      <c r="T28" s="46"/>
      <c r="W28" s="215"/>
      <c r="X28" s="46"/>
      <c r="Y28" s="215"/>
      <c r="Z28" s="46"/>
      <c r="AB28" s="46"/>
      <c r="AC28" s="215"/>
      <c r="AD28" s="46"/>
      <c r="AE28" s="46"/>
      <c r="AF28" s="215"/>
      <c r="AG28" s="46"/>
      <c r="AH28" s="46"/>
      <c r="AI28" s="215"/>
      <c r="AJ28" s="46"/>
      <c r="AK28" s="215"/>
      <c r="AL28" s="46"/>
      <c r="AM28" s="46"/>
      <c r="AN28" s="215"/>
      <c r="AO28" s="46"/>
      <c r="AP28" s="46"/>
      <c r="AQ28" s="41"/>
    </row>
    <row r="29" spans="1:43" x14ac:dyDescent="0.3">
      <c r="A29" s="63"/>
      <c r="B29" s="232"/>
      <c r="C29" s="46"/>
      <c r="D29" s="46"/>
      <c r="E29" s="46"/>
      <c r="F29" s="46"/>
      <c r="G29" s="46"/>
      <c r="H29" s="46"/>
      <c r="I29" s="70">
        <f t="shared" ca="1" si="0"/>
        <v>125</v>
      </c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W29" s="46"/>
      <c r="X29" s="46"/>
      <c r="Y29" s="46"/>
      <c r="Z29" s="46"/>
      <c r="AB29" s="46"/>
      <c r="AC29" s="46"/>
      <c r="AD29" s="46"/>
      <c r="AE29" s="46"/>
      <c r="AF29" s="46"/>
      <c r="AG29" s="46"/>
      <c r="AH29" s="46"/>
      <c r="AI29" s="46"/>
      <c r="AJ29" s="46"/>
      <c r="AK29" s="46"/>
      <c r="AL29" s="46"/>
      <c r="AM29" s="46"/>
      <c r="AN29" s="46"/>
      <c r="AO29" s="46"/>
      <c r="AP29" s="46"/>
      <c r="AQ29" s="41"/>
    </row>
    <row r="30" spans="1:43" x14ac:dyDescent="0.3">
      <c r="A30" s="63"/>
      <c r="B30" s="232"/>
      <c r="C30" s="46"/>
      <c r="D30" s="46"/>
      <c r="E30" s="46"/>
      <c r="F30" s="46"/>
      <c r="G30" s="46"/>
      <c r="H30" s="46"/>
      <c r="I30" s="70">
        <f t="shared" ca="1" si="0"/>
        <v>125</v>
      </c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W30" s="46"/>
      <c r="X30" s="46"/>
      <c r="Y30" s="46"/>
      <c r="Z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1"/>
    </row>
    <row r="31" spans="1:43" x14ac:dyDescent="0.3">
      <c r="A31" s="63"/>
      <c r="B31" s="232"/>
      <c r="C31" s="46"/>
      <c r="D31" s="46"/>
      <c r="E31" s="46"/>
      <c r="F31" s="46"/>
      <c r="G31" s="46"/>
      <c r="H31" s="46"/>
      <c r="I31" s="70">
        <f t="shared" ca="1" si="0"/>
        <v>125</v>
      </c>
      <c r="J31" s="46"/>
      <c r="K31" s="46"/>
      <c r="L31" s="46"/>
      <c r="M31" s="46"/>
      <c r="N31" s="46"/>
      <c r="O31" s="46"/>
      <c r="P31" s="46"/>
      <c r="Q31" s="46"/>
      <c r="R31" s="46"/>
      <c r="S31" s="46"/>
      <c r="T31" s="46"/>
      <c r="W31" s="46"/>
      <c r="X31" s="46"/>
      <c r="Y31" s="46"/>
      <c r="Z31" s="46"/>
      <c r="AB31" s="46"/>
      <c r="AC31" s="46"/>
      <c r="AD31" s="46"/>
      <c r="AE31" s="46"/>
      <c r="AF31" s="46"/>
      <c r="AG31" s="46"/>
      <c r="AH31" s="46"/>
      <c r="AI31" s="46"/>
      <c r="AJ31" s="46"/>
      <c r="AK31" s="46"/>
      <c r="AL31" s="46"/>
      <c r="AM31" s="46"/>
      <c r="AN31" s="46"/>
      <c r="AO31" s="46"/>
      <c r="AP31" s="46"/>
      <c r="AQ31" s="41"/>
    </row>
    <row r="32" spans="1:43" x14ac:dyDescent="0.3">
      <c r="A32" s="63"/>
      <c r="B32" s="232"/>
      <c r="C32" s="46"/>
      <c r="D32" s="46"/>
      <c r="E32" s="46"/>
      <c r="F32" s="46"/>
      <c r="G32" s="46"/>
      <c r="H32" s="46"/>
      <c r="I32" s="70">
        <f t="shared" ca="1" si="0"/>
        <v>125</v>
      </c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W32" s="46"/>
      <c r="X32" s="46"/>
      <c r="Y32" s="46"/>
      <c r="Z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1"/>
    </row>
    <row r="33" spans="1:43" x14ac:dyDescent="0.3">
      <c r="A33" s="63"/>
      <c r="B33" s="232"/>
      <c r="C33" s="46"/>
      <c r="D33" s="46"/>
      <c r="E33" s="46"/>
      <c r="F33" s="46"/>
      <c r="G33" s="46"/>
      <c r="H33" s="46"/>
      <c r="I33" s="70">
        <f t="shared" ca="1" si="0"/>
        <v>125</v>
      </c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W33" s="46"/>
      <c r="X33" s="46"/>
      <c r="Y33" s="46"/>
      <c r="Z33" s="46"/>
      <c r="AB33" s="46"/>
      <c r="AC33" s="46"/>
      <c r="AD33" s="46"/>
      <c r="AE33" s="46"/>
      <c r="AF33" s="46"/>
      <c r="AG33" s="46"/>
      <c r="AH33" s="46"/>
      <c r="AI33" s="46"/>
      <c r="AJ33" s="46"/>
      <c r="AK33" s="46"/>
      <c r="AL33" s="46"/>
      <c r="AM33" s="46"/>
      <c r="AN33" s="46"/>
      <c r="AO33" s="46"/>
      <c r="AP33" s="46"/>
      <c r="AQ33" s="41"/>
    </row>
    <row r="34" spans="1:43" x14ac:dyDescent="0.3">
      <c r="A34" s="63"/>
      <c r="B34" s="232"/>
      <c r="C34" s="46"/>
      <c r="D34" s="214"/>
      <c r="E34" s="46"/>
      <c r="F34" s="46"/>
      <c r="G34" s="46"/>
      <c r="H34" s="46"/>
      <c r="I34" s="70">
        <f t="shared" ca="1" si="0"/>
        <v>125</v>
      </c>
      <c r="J34" s="46"/>
      <c r="K34" s="46"/>
      <c r="L34" s="46"/>
      <c r="M34" s="46"/>
      <c r="N34" s="46"/>
      <c r="O34" s="46"/>
      <c r="P34" s="46"/>
      <c r="Q34" s="46"/>
      <c r="R34" s="46"/>
      <c r="S34" s="46"/>
      <c r="T34" s="46"/>
      <c r="W34" s="46"/>
      <c r="X34" s="46"/>
      <c r="Y34" s="46"/>
      <c r="Z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1"/>
    </row>
    <row r="35" spans="1:43" x14ac:dyDescent="0.3">
      <c r="A35" s="63"/>
      <c r="B35" s="232"/>
      <c r="C35" s="46"/>
      <c r="D35" s="46"/>
      <c r="E35" s="46"/>
      <c r="F35" s="46"/>
      <c r="G35" s="46"/>
      <c r="H35" s="46"/>
      <c r="I35" s="70">
        <f t="shared" ca="1" si="0"/>
        <v>125</v>
      </c>
      <c r="J35" s="46"/>
      <c r="K35" s="46"/>
      <c r="L35" s="46"/>
      <c r="M35" s="46"/>
      <c r="N35" s="46"/>
      <c r="O35" s="46"/>
      <c r="P35" s="46"/>
      <c r="Q35" s="46"/>
      <c r="R35" s="46"/>
      <c r="S35" s="46"/>
      <c r="T35" s="46"/>
      <c r="W35" s="46"/>
      <c r="X35" s="46"/>
      <c r="Y35" s="46"/>
      <c r="Z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1"/>
    </row>
    <row r="36" spans="1:43" x14ac:dyDescent="0.3">
      <c r="A36" s="63"/>
      <c r="B36" s="232"/>
      <c r="C36" s="46"/>
      <c r="D36" s="46"/>
      <c r="E36" s="46"/>
      <c r="F36" s="46"/>
      <c r="G36" s="46"/>
      <c r="H36" s="46"/>
      <c r="I36" s="70">
        <f t="shared" ca="1" si="0"/>
        <v>125</v>
      </c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W36" s="46"/>
      <c r="X36" s="46"/>
      <c r="Y36" s="46"/>
      <c r="Z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1"/>
    </row>
    <row r="37" spans="1:43" x14ac:dyDescent="0.3">
      <c r="A37" s="63"/>
      <c r="B37" s="232"/>
      <c r="C37" s="46"/>
      <c r="D37" s="46"/>
      <c r="E37" s="46"/>
      <c r="F37" s="46"/>
      <c r="G37" s="46"/>
      <c r="H37" s="46"/>
      <c r="I37" s="70">
        <f t="shared" ca="1" si="0"/>
        <v>125</v>
      </c>
      <c r="J37" s="46"/>
      <c r="K37" s="46"/>
      <c r="L37" s="46"/>
      <c r="M37" s="46"/>
      <c r="N37" s="46"/>
      <c r="O37" s="46"/>
      <c r="P37" s="46"/>
      <c r="Q37" s="46"/>
      <c r="R37" s="46"/>
      <c r="S37" s="46"/>
      <c r="T37" s="46"/>
      <c r="W37" s="46"/>
      <c r="X37" s="46"/>
      <c r="Y37" s="46"/>
      <c r="Z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1"/>
    </row>
    <row r="38" spans="1:43" x14ac:dyDescent="0.3">
      <c r="A38" s="63"/>
      <c r="B38" s="232"/>
      <c r="C38" s="46"/>
      <c r="D38" s="46"/>
      <c r="E38" s="46"/>
      <c r="F38" s="46"/>
      <c r="G38" s="46"/>
      <c r="H38" s="46"/>
      <c r="I38" s="70">
        <f t="shared" ca="1" si="0"/>
        <v>125</v>
      </c>
      <c r="J38" s="46"/>
      <c r="K38" s="46"/>
      <c r="L38" s="46"/>
      <c r="M38" s="46"/>
      <c r="N38" s="46"/>
      <c r="O38" s="46"/>
      <c r="P38" s="46"/>
      <c r="Q38" s="46"/>
      <c r="R38" s="46"/>
      <c r="S38" s="46"/>
      <c r="T38" s="46"/>
      <c r="W38" s="46"/>
      <c r="X38" s="46"/>
      <c r="Y38" s="46"/>
      <c r="Z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1"/>
    </row>
    <row r="39" spans="1:43" x14ac:dyDescent="0.3">
      <c r="A39" s="63"/>
      <c r="B39" s="232"/>
      <c r="C39" s="46"/>
      <c r="D39" s="46"/>
      <c r="E39" s="46"/>
      <c r="F39" s="46"/>
      <c r="G39" s="46"/>
      <c r="H39" s="46"/>
      <c r="I39" s="70">
        <f t="shared" ca="1" si="0"/>
        <v>125</v>
      </c>
      <c r="J39" s="46"/>
      <c r="K39" s="46"/>
      <c r="L39" s="46"/>
      <c r="M39" s="46"/>
      <c r="N39" s="46"/>
      <c r="O39" s="46"/>
      <c r="P39" s="46"/>
      <c r="Q39" s="46"/>
      <c r="R39" s="46"/>
      <c r="S39" s="46"/>
      <c r="T39" s="46"/>
      <c r="W39" s="46"/>
      <c r="X39" s="46"/>
      <c r="Y39" s="46"/>
      <c r="Z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1"/>
    </row>
    <row r="40" spans="1:43" x14ac:dyDescent="0.3">
      <c r="A40" s="63"/>
      <c r="B40" s="232"/>
      <c r="C40" s="46"/>
      <c r="D40" s="46"/>
      <c r="E40" s="46"/>
      <c r="F40" s="46"/>
      <c r="G40" s="46"/>
      <c r="H40" s="46"/>
      <c r="I40" s="70">
        <f t="shared" ca="1" si="0"/>
        <v>125</v>
      </c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W40" s="46"/>
      <c r="X40" s="46"/>
      <c r="Y40" s="46"/>
      <c r="Z40" s="46"/>
      <c r="AB40" s="46"/>
      <c r="AC40" s="46"/>
      <c r="AD40" s="46"/>
      <c r="AE40" s="46"/>
      <c r="AF40" s="4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1"/>
    </row>
    <row r="41" spans="1:43" x14ac:dyDescent="0.3">
      <c r="A41" s="63"/>
      <c r="B41" s="232"/>
      <c r="C41" s="46"/>
      <c r="D41" s="46"/>
      <c r="E41" s="46"/>
      <c r="F41" s="46"/>
      <c r="G41" s="46"/>
      <c r="H41" s="46"/>
      <c r="I41" s="70">
        <f t="shared" ca="1" si="0"/>
        <v>125</v>
      </c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W41" s="46"/>
      <c r="X41" s="46"/>
      <c r="Y41" s="46"/>
      <c r="Z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1"/>
    </row>
    <row r="42" spans="1:43" x14ac:dyDescent="0.3">
      <c r="A42" s="63"/>
      <c r="B42" s="232"/>
      <c r="C42" s="46"/>
      <c r="D42" s="46"/>
      <c r="E42" s="46"/>
      <c r="F42" s="46"/>
      <c r="G42" s="46"/>
      <c r="H42" s="46"/>
      <c r="I42" s="70">
        <f t="shared" ca="1" si="0"/>
        <v>125</v>
      </c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W42" s="46"/>
      <c r="X42" s="46"/>
      <c r="Y42" s="46"/>
      <c r="Z42" s="46"/>
      <c r="AB42" s="46"/>
      <c r="AC42" s="46"/>
      <c r="AD42" s="46"/>
      <c r="AE42" s="46"/>
      <c r="AF42" s="46"/>
      <c r="AG42" s="46"/>
      <c r="AH42" s="46"/>
      <c r="AI42" s="46"/>
      <c r="AJ42" s="46"/>
      <c r="AK42" s="46"/>
      <c r="AL42" s="46"/>
      <c r="AM42" s="46"/>
      <c r="AN42" s="46"/>
      <c r="AO42" s="46"/>
      <c r="AP42" s="46"/>
      <c r="AQ42" s="41"/>
    </row>
    <row r="43" spans="1:43" x14ac:dyDescent="0.3">
      <c r="A43" s="63"/>
      <c r="B43" s="232"/>
      <c r="C43" s="46"/>
      <c r="D43" s="46"/>
      <c r="E43" s="46"/>
      <c r="F43" s="46"/>
      <c r="G43" s="46"/>
      <c r="H43" s="46"/>
      <c r="I43" s="70">
        <f t="shared" ca="1" si="0"/>
        <v>125</v>
      </c>
      <c r="J43" s="46"/>
      <c r="K43" s="46"/>
      <c r="L43" s="46"/>
      <c r="M43" s="46"/>
      <c r="N43" s="46"/>
      <c r="O43" s="46"/>
      <c r="P43" s="46"/>
      <c r="Q43" s="46"/>
      <c r="R43" s="46"/>
      <c r="S43" s="46"/>
      <c r="T43" s="46"/>
      <c r="W43" s="46"/>
      <c r="X43" s="46"/>
      <c r="Y43" s="46"/>
      <c r="Z43" s="46"/>
      <c r="AB43" s="46"/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41"/>
    </row>
    <row r="44" spans="1:43" x14ac:dyDescent="0.3">
      <c r="A44" s="63"/>
      <c r="B44" s="232"/>
      <c r="C44" s="46"/>
      <c r="D44" s="46"/>
      <c r="E44" s="46"/>
      <c r="F44" s="46"/>
      <c r="G44" s="46"/>
      <c r="H44" s="46"/>
      <c r="I44" s="70">
        <f t="shared" ca="1" si="0"/>
        <v>125</v>
      </c>
      <c r="J44" s="46"/>
      <c r="K44" s="46"/>
      <c r="L44" s="46"/>
      <c r="M44" s="46"/>
      <c r="N44" s="46"/>
      <c r="O44" s="46"/>
      <c r="P44" s="46"/>
      <c r="Q44" s="46"/>
      <c r="R44" s="46"/>
      <c r="S44" s="46"/>
      <c r="T44" s="46"/>
      <c r="W44" s="46"/>
      <c r="X44" s="46"/>
      <c r="Y44" s="46"/>
      <c r="Z44" s="46"/>
      <c r="AB44" s="46"/>
      <c r="AC44" s="46"/>
      <c r="AD44" s="46"/>
      <c r="AE44" s="46"/>
      <c r="AF44" s="46"/>
      <c r="AG44" s="46"/>
      <c r="AH44" s="46"/>
      <c r="AI44" s="46"/>
      <c r="AJ44" s="46"/>
      <c r="AK44" s="46"/>
      <c r="AL44" s="46"/>
      <c r="AM44" s="46"/>
      <c r="AN44" s="46"/>
      <c r="AO44" s="46"/>
      <c r="AP44" s="46"/>
      <c r="AQ44" s="41"/>
    </row>
    <row r="45" spans="1:43" x14ac:dyDescent="0.3">
      <c r="A45" s="63"/>
      <c r="B45" s="232"/>
      <c r="C45" s="46"/>
      <c r="D45" s="46"/>
      <c r="E45" s="46"/>
      <c r="F45" s="46"/>
      <c r="G45" s="46"/>
      <c r="H45" s="46"/>
      <c r="I45" s="70">
        <f t="shared" ca="1" si="0"/>
        <v>125</v>
      </c>
      <c r="J45" s="46"/>
      <c r="K45" s="46"/>
      <c r="L45" s="46"/>
      <c r="M45" s="46"/>
      <c r="N45" s="46"/>
      <c r="O45" s="46"/>
      <c r="P45" s="46"/>
      <c r="Q45" s="46"/>
      <c r="R45" s="46"/>
      <c r="S45" s="46"/>
      <c r="T45" s="46"/>
      <c r="W45" s="46"/>
      <c r="X45" s="46"/>
      <c r="Y45" s="46"/>
      <c r="Z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1"/>
    </row>
    <row r="46" spans="1:43" x14ac:dyDescent="0.3">
      <c r="A46" s="63"/>
      <c r="B46" s="232"/>
      <c r="C46" s="46"/>
      <c r="D46" s="46"/>
      <c r="E46" s="46"/>
      <c r="F46" s="46"/>
      <c r="G46" s="46"/>
      <c r="H46" s="46"/>
      <c r="I46" s="70">
        <f t="shared" ca="1" si="0"/>
        <v>125</v>
      </c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W46" s="46"/>
      <c r="X46" s="46"/>
      <c r="Y46" s="46"/>
      <c r="Z46" s="46"/>
      <c r="AB46" s="46"/>
      <c r="AC46" s="46"/>
      <c r="AD46" s="46"/>
      <c r="AE46" s="46"/>
      <c r="AF46" s="46"/>
      <c r="AG46" s="46"/>
      <c r="AH46" s="46"/>
      <c r="AI46" s="46"/>
      <c r="AJ46" s="46"/>
      <c r="AK46" s="46"/>
      <c r="AL46" s="46"/>
      <c r="AM46" s="46"/>
      <c r="AN46" s="46"/>
      <c r="AO46" s="46"/>
      <c r="AP46" s="46"/>
      <c r="AQ46" s="41"/>
    </row>
    <row r="47" spans="1:43" x14ac:dyDescent="0.3">
      <c r="A47" s="63"/>
      <c r="B47" s="232"/>
      <c r="C47" s="46"/>
      <c r="D47" s="46"/>
      <c r="E47" s="46"/>
      <c r="F47" s="46"/>
      <c r="G47" s="46"/>
      <c r="H47" s="46"/>
      <c r="I47" s="70">
        <f t="shared" ca="1" si="0"/>
        <v>125</v>
      </c>
      <c r="J47" s="46"/>
      <c r="K47" s="46"/>
      <c r="L47" s="46"/>
      <c r="M47" s="46"/>
      <c r="N47" s="46"/>
      <c r="O47" s="46"/>
      <c r="P47" s="46"/>
      <c r="Q47" s="46"/>
      <c r="R47" s="46"/>
      <c r="S47" s="46"/>
      <c r="T47" s="46"/>
      <c r="W47" s="46"/>
      <c r="X47" s="46"/>
      <c r="Y47" s="46"/>
      <c r="Z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41"/>
    </row>
    <row r="48" spans="1:43" x14ac:dyDescent="0.3">
      <c r="A48" s="63"/>
      <c r="B48" s="232"/>
      <c r="C48" s="46"/>
      <c r="D48" s="46"/>
      <c r="E48" s="46"/>
      <c r="F48" s="46"/>
      <c r="G48" s="46"/>
      <c r="H48" s="46"/>
      <c r="I48" s="70">
        <f t="shared" ca="1" si="0"/>
        <v>125</v>
      </c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W48" s="46"/>
      <c r="X48" s="46"/>
      <c r="Y48" s="46"/>
      <c r="Z48" s="46"/>
      <c r="AB48" s="46"/>
      <c r="AC48" s="46"/>
      <c r="AD48" s="46"/>
      <c r="AE48" s="46"/>
      <c r="AF48" s="46"/>
      <c r="AG48" s="46"/>
      <c r="AH48" s="46"/>
      <c r="AI48" s="46"/>
      <c r="AJ48" s="46"/>
      <c r="AK48" s="46"/>
      <c r="AL48" s="46"/>
      <c r="AM48" s="46"/>
      <c r="AN48" s="46"/>
      <c r="AO48" s="46"/>
      <c r="AP48" s="46"/>
      <c r="AQ48" s="41"/>
    </row>
    <row r="49" spans="1:43" x14ac:dyDescent="0.3">
      <c r="A49" s="63"/>
      <c r="B49" s="232"/>
      <c r="C49" s="46"/>
      <c r="D49" s="46"/>
      <c r="E49" s="46"/>
      <c r="F49" s="46"/>
      <c r="G49" s="46"/>
      <c r="H49" s="46"/>
      <c r="I49" s="70">
        <f t="shared" ca="1" si="0"/>
        <v>125</v>
      </c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W49" s="46"/>
      <c r="X49" s="46"/>
      <c r="Y49" s="46"/>
      <c r="Z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41"/>
    </row>
    <row r="50" spans="1:43" x14ac:dyDescent="0.3">
      <c r="A50" s="63"/>
      <c r="B50" s="232"/>
      <c r="C50" s="46"/>
      <c r="D50" s="46"/>
      <c r="E50" s="46"/>
      <c r="F50" s="46"/>
      <c r="G50" s="46"/>
      <c r="H50" s="46"/>
      <c r="I50" s="70">
        <f t="shared" ca="1" si="0"/>
        <v>125</v>
      </c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W50" s="46"/>
      <c r="X50" s="46"/>
      <c r="Y50" s="46"/>
      <c r="Z50" s="46"/>
      <c r="AB50" s="46"/>
      <c r="AC50" s="46"/>
      <c r="AD50" s="46"/>
      <c r="AE50" s="46"/>
      <c r="AF50" s="46"/>
      <c r="AG50" s="46"/>
      <c r="AH50" s="46"/>
      <c r="AI50" s="46"/>
      <c r="AJ50" s="46"/>
      <c r="AK50" s="46"/>
      <c r="AL50" s="46"/>
      <c r="AM50" s="46"/>
      <c r="AN50" s="46"/>
      <c r="AO50" s="46"/>
      <c r="AP50" s="46"/>
      <c r="AQ50" s="41"/>
    </row>
    <row r="51" spans="1:43" x14ac:dyDescent="0.3">
      <c r="A51" s="63"/>
      <c r="B51" s="232"/>
      <c r="C51" s="46"/>
      <c r="D51" s="46"/>
      <c r="E51" s="46"/>
      <c r="F51" s="46"/>
      <c r="G51" s="46"/>
      <c r="H51" s="46"/>
      <c r="I51" s="70">
        <f t="shared" ca="1" si="0"/>
        <v>125</v>
      </c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W51" s="46"/>
      <c r="X51" s="46"/>
      <c r="Y51" s="46"/>
      <c r="Z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41"/>
    </row>
    <row r="52" spans="1:43" x14ac:dyDescent="0.3">
      <c r="A52" s="63"/>
      <c r="B52" s="232"/>
      <c r="C52" s="46"/>
      <c r="D52" s="46"/>
      <c r="E52" s="46"/>
      <c r="F52" s="46"/>
      <c r="G52" s="46"/>
      <c r="H52" s="46"/>
      <c r="I52" s="70">
        <f t="shared" ca="1" si="0"/>
        <v>125</v>
      </c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W52" s="46"/>
      <c r="X52" s="46"/>
      <c r="Y52" s="46"/>
      <c r="Z52" s="46"/>
      <c r="AB52" s="46"/>
      <c r="AC52" s="46"/>
      <c r="AD52" s="46"/>
      <c r="AE52" s="46"/>
      <c r="AF52" s="46"/>
      <c r="AG52" s="46"/>
      <c r="AH52" s="46"/>
      <c r="AI52" s="46"/>
      <c r="AJ52" s="46"/>
      <c r="AK52" s="46"/>
      <c r="AL52" s="46"/>
      <c r="AM52" s="46"/>
      <c r="AN52" s="46"/>
      <c r="AO52" s="46"/>
      <c r="AP52" s="46"/>
      <c r="AQ52" s="41"/>
    </row>
    <row r="53" spans="1:43" x14ac:dyDescent="0.3">
      <c r="A53" s="63"/>
      <c r="B53" s="232"/>
      <c r="C53" s="46"/>
      <c r="D53" s="46"/>
      <c r="E53" s="46"/>
      <c r="F53" s="46"/>
      <c r="G53" s="46"/>
      <c r="H53" s="46"/>
      <c r="I53" s="70">
        <f t="shared" ca="1" si="0"/>
        <v>125</v>
      </c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W53" s="46"/>
      <c r="X53" s="46"/>
      <c r="Y53" s="46"/>
      <c r="Z53" s="46"/>
      <c r="AB53" s="46"/>
      <c r="AC53" s="46"/>
      <c r="AD53" s="46"/>
      <c r="AE53" s="46"/>
      <c r="AF53" s="46"/>
      <c r="AG53" s="46"/>
      <c r="AH53" s="46"/>
      <c r="AI53" s="46"/>
      <c r="AJ53" s="46"/>
      <c r="AK53" s="46"/>
      <c r="AL53" s="46"/>
      <c r="AM53" s="46"/>
      <c r="AN53" s="46"/>
      <c r="AO53" s="46"/>
      <c r="AP53" s="46"/>
      <c r="AQ53" s="41"/>
    </row>
    <row r="54" spans="1:43" x14ac:dyDescent="0.3">
      <c r="A54" s="63"/>
      <c r="B54" s="232"/>
      <c r="C54" s="46"/>
      <c r="D54" s="46"/>
      <c r="E54" s="46"/>
      <c r="F54" s="46"/>
      <c r="G54" s="46"/>
      <c r="H54" s="46"/>
      <c r="I54" s="70">
        <f t="shared" ca="1" si="0"/>
        <v>125</v>
      </c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W54" s="46"/>
      <c r="X54" s="46"/>
      <c r="Y54" s="46"/>
      <c r="Z54" s="46"/>
      <c r="AB54" s="46"/>
      <c r="AC54" s="46"/>
      <c r="AD54" s="46"/>
      <c r="AE54" s="46"/>
      <c r="AF54" s="46"/>
      <c r="AG54" s="46"/>
      <c r="AH54" s="46"/>
      <c r="AI54" s="46"/>
      <c r="AJ54" s="46"/>
      <c r="AK54" s="46"/>
      <c r="AL54" s="46"/>
      <c r="AM54" s="46"/>
      <c r="AN54" s="46"/>
      <c r="AO54" s="46"/>
      <c r="AP54" s="46"/>
      <c r="AQ54" s="41"/>
    </row>
    <row r="55" spans="1:43" x14ac:dyDescent="0.3">
      <c r="A55" s="63"/>
      <c r="B55" s="232"/>
      <c r="C55" s="46"/>
      <c r="D55" s="46"/>
      <c r="E55" s="46"/>
      <c r="F55" s="46"/>
      <c r="G55" s="46"/>
      <c r="H55" s="46"/>
      <c r="I55" s="70">
        <f t="shared" ca="1" si="0"/>
        <v>125</v>
      </c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W55" s="46"/>
      <c r="X55" s="46"/>
      <c r="Y55" s="46"/>
      <c r="Z55" s="46"/>
      <c r="AB55" s="46"/>
      <c r="AC55" s="46"/>
      <c r="AD55" s="46"/>
      <c r="AE55" s="46"/>
      <c r="AF55" s="46"/>
      <c r="AG55" s="46"/>
      <c r="AH55" s="46"/>
      <c r="AI55" s="46"/>
      <c r="AJ55" s="46"/>
      <c r="AK55" s="46"/>
      <c r="AL55" s="46"/>
      <c r="AM55" s="46"/>
      <c r="AN55" s="46"/>
      <c r="AO55" s="46"/>
      <c r="AP55" s="46"/>
      <c r="AQ55" s="41"/>
    </row>
    <row r="56" spans="1:43" x14ac:dyDescent="0.3">
      <c r="A56" s="63"/>
      <c r="B56" s="232"/>
      <c r="C56" s="46"/>
      <c r="D56" s="46"/>
      <c r="E56" s="46"/>
      <c r="F56" s="46"/>
      <c r="G56" s="46"/>
      <c r="H56" s="46"/>
      <c r="I56" s="70">
        <f t="shared" ca="1" si="0"/>
        <v>125</v>
      </c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W56" s="46"/>
      <c r="X56" s="46"/>
      <c r="Y56" s="46"/>
      <c r="Z56" s="46"/>
      <c r="AB56" s="46"/>
      <c r="AC56" s="46"/>
      <c r="AD56" s="46"/>
      <c r="AE56" s="46"/>
      <c r="AF56" s="4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1"/>
    </row>
    <row r="57" spans="1:43" x14ac:dyDescent="0.3">
      <c r="A57" s="63"/>
      <c r="B57" s="232"/>
      <c r="C57" s="46"/>
      <c r="D57" s="46"/>
      <c r="E57" s="46"/>
      <c r="F57" s="46"/>
      <c r="G57" s="46"/>
      <c r="H57" s="46"/>
      <c r="I57" s="70">
        <f t="shared" ca="1" si="0"/>
        <v>125</v>
      </c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W57" s="46"/>
      <c r="X57" s="46"/>
      <c r="Y57" s="46"/>
      <c r="Z57" s="46"/>
      <c r="AB57" s="46"/>
      <c r="AC57" s="46"/>
      <c r="AD57" s="46"/>
      <c r="AE57" s="46"/>
      <c r="AF57" s="4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1"/>
    </row>
    <row r="58" spans="1:43" x14ac:dyDescent="0.3">
      <c r="A58" s="63"/>
      <c r="B58" s="232"/>
      <c r="C58" s="46"/>
      <c r="D58" s="46"/>
      <c r="E58" s="46"/>
      <c r="F58" s="46"/>
      <c r="G58" s="46"/>
      <c r="H58" s="46"/>
      <c r="I58" s="70">
        <f t="shared" ca="1" si="0"/>
        <v>125</v>
      </c>
      <c r="J58" s="46"/>
      <c r="K58" s="46"/>
      <c r="L58" s="46"/>
      <c r="M58" s="46"/>
      <c r="N58" s="46"/>
      <c r="O58" s="46"/>
      <c r="P58" s="46"/>
      <c r="Q58" s="46"/>
      <c r="R58" s="46"/>
      <c r="S58" s="46"/>
      <c r="T58" s="46"/>
      <c r="W58" s="46"/>
      <c r="X58" s="46"/>
      <c r="Y58" s="46"/>
      <c r="Z58" s="46"/>
      <c r="AB58" s="46"/>
      <c r="AC58" s="46"/>
      <c r="AD58" s="46"/>
      <c r="AE58" s="46"/>
      <c r="AF58" s="46"/>
      <c r="AG58" s="46"/>
      <c r="AH58" s="46"/>
      <c r="AI58" s="46"/>
      <c r="AJ58" s="46"/>
      <c r="AK58" s="46"/>
      <c r="AL58" s="46"/>
      <c r="AM58" s="46"/>
      <c r="AN58" s="46"/>
      <c r="AO58" s="46"/>
      <c r="AP58" s="46"/>
      <c r="AQ58" s="41"/>
    </row>
    <row r="59" spans="1:43" x14ac:dyDescent="0.3">
      <c r="A59" s="63"/>
      <c r="B59" s="232"/>
      <c r="C59" s="46"/>
      <c r="D59" s="46"/>
      <c r="E59" s="46"/>
      <c r="F59" s="46"/>
      <c r="G59" s="46"/>
      <c r="H59" s="46"/>
      <c r="I59" s="70">
        <f t="shared" ca="1" si="0"/>
        <v>125</v>
      </c>
      <c r="J59" s="46"/>
      <c r="K59" s="46"/>
      <c r="L59" s="46"/>
      <c r="M59" s="46"/>
      <c r="N59" s="46"/>
      <c r="O59" s="46"/>
      <c r="P59" s="46"/>
      <c r="Q59" s="46"/>
      <c r="R59" s="46"/>
      <c r="S59" s="46"/>
      <c r="T59" s="46"/>
      <c r="W59" s="46"/>
      <c r="X59" s="46"/>
      <c r="Y59" s="46"/>
      <c r="Z59" s="46"/>
      <c r="AB59" s="46"/>
      <c r="AC59" s="46"/>
      <c r="AD59" s="46"/>
      <c r="AE59" s="46"/>
      <c r="AF59" s="4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1"/>
    </row>
    <row r="60" spans="1:43" x14ac:dyDescent="0.3">
      <c r="A60" s="63"/>
      <c r="B60" s="232"/>
      <c r="C60" s="46"/>
      <c r="D60" s="46"/>
      <c r="E60" s="46"/>
      <c r="F60" s="46"/>
      <c r="G60" s="46"/>
      <c r="H60" s="46"/>
      <c r="I60" s="70">
        <f t="shared" ca="1" si="0"/>
        <v>125</v>
      </c>
      <c r="J60" s="46"/>
      <c r="K60" s="46"/>
      <c r="L60" s="46"/>
      <c r="M60" s="46"/>
      <c r="N60" s="46"/>
      <c r="O60" s="46"/>
      <c r="P60" s="46"/>
      <c r="Q60" s="46"/>
      <c r="R60" s="46"/>
      <c r="S60" s="46"/>
      <c r="T60" s="46"/>
      <c r="W60" s="46"/>
      <c r="X60" s="46"/>
      <c r="Y60" s="46"/>
      <c r="Z60" s="46"/>
      <c r="AB60" s="46"/>
      <c r="AC60" s="46"/>
      <c r="AD60" s="46"/>
      <c r="AE60" s="46"/>
      <c r="AF60" s="4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1"/>
    </row>
    <row r="61" spans="1:43" x14ac:dyDescent="0.3">
      <c r="A61" s="63"/>
      <c r="B61" s="232"/>
      <c r="C61" s="46"/>
      <c r="D61" s="46"/>
      <c r="E61" s="46"/>
      <c r="F61" s="46"/>
      <c r="G61" s="46"/>
      <c r="H61" s="46"/>
      <c r="I61" s="70">
        <f t="shared" ca="1" si="0"/>
        <v>125</v>
      </c>
      <c r="J61" s="46"/>
      <c r="K61" s="46"/>
      <c r="L61" s="46"/>
      <c r="M61" s="46"/>
      <c r="N61" s="46"/>
      <c r="O61" s="46"/>
      <c r="P61" s="46"/>
      <c r="Q61" s="46"/>
      <c r="R61" s="46"/>
      <c r="S61" s="46"/>
      <c r="T61" s="46"/>
      <c r="W61" s="46"/>
      <c r="X61" s="46"/>
      <c r="Y61" s="46"/>
      <c r="Z61" s="46"/>
      <c r="AB61" s="46"/>
      <c r="AC61" s="46"/>
      <c r="AD61" s="46"/>
      <c r="AE61" s="46"/>
      <c r="AF61" s="46"/>
      <c r="AG61" s="46"/>
      <c r="AH61" s="46"/>
      <c r="AI61" s="46"/>
      <c r="AJ61" s="46"/>
      <c r="AK61" s="46"/>
      <c r="AL61" s="46"/>
      <c r="AM61" s="46"/>
      <c r="AN61" s="46"/>
      <c r="AO61" s="46"/>
      <c r="AP61" s="46"/>
      <c r="AQ61" s="41"/>
    </row>
    <row r="62" spans="1:43" x14ac:dyDescent="0.3">
      <c r="A62" s="63"/>
      <c r="B62" s="232"/>
      <c r="C62" s="46"/>
      <c r="D62" s="46"/>
      <c r="E62" s="46"/>
      <c r="F62" s="46"/>
      <c r="G62" s="46"/>
      <c r="H62" s="46"/>
      <c r="I62" s="70">
        <f t="shared" ca="1" si="0"/>
        <v>125</v>
      </c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W62" s="46"/>
      <c r="X62" s="46"/>
      <c r="Y62" s="46"/>
      <c r="Z62" s="46"/>
      <c r="AB62" s="46"/>
      <c r="AC62" s="46"/>
      <c r="AD62" s="46"/>
      <c r="AE62" s="46"/>
      <c r="AF62" s="46"/>
      <c r="AG62" s="46"/>
      <c r="AH62" s="46"/>
      <c r="AI62" s="46"/>
      <c r="AJ62" s="46"/>
      <c r="AK62" s="46"/>
      <c r="AL62" s="46"/>
      <c r="AM62" s="46"/>
      <c r="AN62" s="46"/>
      <c r="AO62" s="46"/>
      <c r="AP62" s="46"/>
      <c r="AQ62" s="41"/>
    </row>
    <row r="63" spans="1:43" x14ac:dyDescent="0.3">
      <c r="A63" s="63"/>
      <c r="B63" s="232"/>
      <c r="C63" s="46"/>
      <c r="D63" s="46"/>
      <c r="E63" s="46"/>
      <c r="F63" s="46"/>
      <c r="G63" s="46"/>
      <c r="H63" s="46"/>
      <c r="I63" s="70">
        <f t="shared" ca="1" si="0"/>
        <v>125</v>
      </c>
      <c r="J63" s="46"/>
      <c r="K63" s="46"/>
      <c r="L63" s="46"/>
      <c r="M63" s="46"/>
      <c r="N63" s="46"/>
      <c r="O63" s="46"/>
      <c r="P63" s="46"/>
      <c r="Q63" s="46"/>
      <c r="R63" s="46"/>
      <c r="S63" s="46"/>
      <c r="T63" s="46"/>
      <c r="W63" s="46"/>
      <c r="X63" s="46"/>
      <c r="Y63" s="46"/>
      <c r="Z63" s="46"/>
      <c r="AB63" s="46"/>
      <c r="AC63" s="46"/>
      <c r="AD63" s="46"/>
      <c r="AE63" s="46"/>
      <c r="AF63" s="46"/>
      <c r="AG63" s="46"/>
      <c r="AH63" s="46"/>
      <c r="AI63" s="46"/>
      <c r="AJ63" s="46"/>
      <c r="AK63" s="46"/>
      <c r="AL63" s="46"/>
      <c r="AM63" s="46"/>
      <c r="AN63" s="46"/>
      <c r="AO63" s="46"/>
      <c r="AP63" s="46"/>
      <c r="AQ63" s="41"/>
    </row>
    <row r="64" spans="1:43" x14ac:dyDescent="0.3">
      <c r="A64" s="63"/>
      <c r="B64" s="232"/>
      <c r="C64" s="46"/>
      <c r="D64" s="46"/>
      <c r="E64" s="46"/>
      <c r="F64" s="46"/>
      <c r="G64" s="46"/>
      <c r="H64" s="46"/>
      <c r="I64" s="70">
        <f t="shared" ca="1" si="0"/>
        <v>125</v>
      </c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W64" s="46"/>
      <c r="X64" s="46"/>
      <c r="Y64" s="46"/>
      <c r="Z64" s="46"/>
      <c r="AB64" s="46"/>
      <c r="AC64" s="46"/>
      <c r="AD64" s="46"/>
      <c r="AE64" s="46"/>
      <c r="AF64" s="46"/>
      <c r="AG64" s="46"/>
      <c r="AH64" s="46"/>
      <c r="AI64" s="46"/>
      <c r="AJ64" s="46"/>
      <c r="AK64" s="46"/>
      <c r="AL64" s="46"/>
      <c r="AM64" s="46"/>
      <c r="AN64" s="46"/>
      <c r="AO64" s="46"/>
      <c r="AP64" s="46"/>
      <c r="AQ64" s="41"/>
    </row>
    <row r="65" spans="1:43" x14ac:dyDescent="0.3">
      <c r="A65" s="63"/>
      <c r="B65" s="232"/>
      <c r="C65" s="46"/>
      <c r="D65" s="46"/>
      <c r="E65" s="46"/>
      <c r="F65" s="46"/>
      <c r="G65" s="46"/>
      <c r="H65" s="46"/>
      <c r="I65" s="70">
        <f t="shared" ca="1" si="0"/>
        <v>125</v>
      </c>
      <c r="J65" s="46"/>
      <c r="K65" s="46"/>
      <c r="L65" s="46"/>
      <c r="M65" s="46"/>
      <c r="N65" s="46"/>
      <c r="O65" s="46"/>
      <c r="P65" s="46"/>
      <c r="Q65" s="46"/>
      <c r="R65" s="46"/>
      <c r="S65" s="46"/>
      <c r="T65" s="46"/>
      <c r="W65" s="46"/>
      <c r="X65" s="46"/>
      <c r="Y65" s="46"/>
      <c r="Z65" s="46"/>
      <c r="AB65" s="46"/>
      <c r="AC65" s="46"/>
      <c r="AD65" s="46"/>
      <c r="AE65" s="46"/>
      <c r="AF65" s="46"/>
      <c r="AG65" s="46"/>
      <c r="AH65" s="46"/>
      <c r="AI65" s="46"/>
      <c r="AJ65" s="46"/>
      <c r="AK65" s="46"/>
      <c r="AL65" s="46"/>
      <c r="AM65" s="46"/>
      <c r="AN65" s="46"/>
      <c r="AO65" s="46"/>
      <c r="AP65" s="46"/>
      <c r="AQ65" s="41"/>
    </row>
    <row r="66" spans="1:43" x14ac:dyDescent="0.3">
      <c r="A66" s="63"/>
      <c r="B66" s="232"/>
      <c r="C66" s="46"/>
      <c r="D66" s="46"/>
      <c r="E66" s="46"/>
      <c r="F66" s="46"/>
      <c r="G66" s="46"/>
      <c r="H66" s="46"/>
      <c r="I66" s="70">
        <f t="shared" ca="1" si="0"/>
        <v>125</v>
      </c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W66" s="46"/>
      <c r="X66" s="46"/>
      <c r="Y66" s="46"/>
      <c r="Z66" s="46"/>
      <c r="AB66" s="46"/>
      <c r="AC66" s="46"/>
      <c r="AD66" s="46"/>
      <c r="AE66" s="46"/>
      <c r="AF66" s="46"/>
      <c r="AG66" s="46"/>
      <c r="AH66" s="46"/>
      <c r="AI66" s="46"/>
      <c r="AJ66" s="46"/>
      <c r="AK66" s="46"/>
      <c r="AL66" s="46"/>
      <c r="AM66" s="46"/>
      <c r="AN66" s="46"/>
      <c r="AO66" s="46"/>
      <c r="AP66" s="46"/>
      <c r="AQ66" s="41"/>
    </row>
    <row r="67" spans="1:43" x14ac:dyDescent="0.3">
      <c r="A67" s="63"/>
      <c r="B67" s="232"/>
      <c r="C67" s="46"/>
      <c r="D67" s="46"/>
      <c r="E67" s="46"/>
      <c r="F67" s="46"/>
      <c r="G67" s="46"/>
      <c r="H67" s="46"/>
      <c r="I67" s="70">
        <f t="shared" ca="1" si="0"/>
        <v>125</v>
      </c>
      <c r="J67" s="46"/>
      <c r="K67" s="46"/>
      <c r="L67" s="46"/>
      <c r="M67" s="46"/>
      <c r="N67" s="46"/>
      <c r="O67" s="46"/>
      <c r="P67" s="46"/>
      <c r="Q67" s="46"/>
      <c r="R67" s="46"/>
      <c r="S67" s="46"/>
      <c r="T67" s="46"/>
      <c r="W67" s="46"/>
      <c r="X67" s="46"/>
      <c r="Y67" s="46"/>
      <c r="Z67" s="46"/>
      <c r="AB67" s="46"/>
      <c r="AC67" s="46"/>
      <c r="AD67" s="46"/>
      <c r="AE67" s="46"/>
      <c r="AF67" s="46"/>
      <c r="AG67" s="46"/>
      <c r="AH67" s="46"/>
      <c r="AI67" s="46"/>
      <c r="AJ67" s="46"/>
      <c r="AK67" s="46"/>
      <c r="AL67" s="46"/>
      <c r="AM67" s="46"/>
      <c r="AN67" s="46"/>
      <c r="AO67" s="46"/>
      <c r="AP67" s="46"/>
      <c r="AQ67" s="41"/>
    </row>
    <row r="68" spans="1:43" x14ac:dyDescent="0.3">
      <c r="A68" s="63"/>
      <c r="B68" s="232"/>
      <c r="C68" s="46"/>
      <c r="D68" s="46"/>
      <c r="E68" s="46"/>
      <c r="F68" s="46"/>
      <c r="G68" s="46"/>
      <c r="H68" s="46"/>
      <c r="I68" s="70">
        <f t="shared" ca="1" si="0"/>
        <v>125</v>
      </c>
      <c r="J68" s="46"/>
      <c r="K68" s="46"/>
      <c r="L68" s="46"/>
      <c r="M68" s="46"/>
      <c r="N68" s="46"/>
      <c r="O68" s="46"/>
      <c r="P68" s="46"/>
      <c r="Q68" s="46"/>
      <c r="R68" s="46"/>
      <c r="S68" s="46"/>
      <c r="T68" s="46"/>
      <c r="W68" s="46"/>
      <c r="X68" s="46"/>
      <c r="Y68" s="46"/>
      <c r="Z68" s="46"/>
      <c r="AB68" s="46"/>
      <c r="AC68" s="46"/>
      <c r="AD68" s="46"/>
      <c r="AE68" s="46"/>
      <c r="AF68" s="46"/>
      <c r="AG68" s="46"/>
      <c r="AH68" s="46"/>
      <c r="AI68" s="46"/>
      <c r="AJ68" s="46"/>
      <c r="AK68" s="46"/>
      <c r="AL68" s="46"/>
      <c r="AM68" s="46"/>
      <c r="AN68" s="46"/>
      <c r="AO68" s="46"/>
      <c r="AP68" s="46"/>
      <c r="AQ68" s="41"/>
    </row>
    <row r="69" spans="1:43" x14ac:dyDescent="0.3">
      <c r="A69" s="63"/>
      <c r="B69" s="232"/>
      <c r="C69" s="46"/>
      <c r="D69" s="46"/>
      <c r="E69" s="46"/>
      <c r="F69" s="46"/>
      <c r="G69" s="46"/>
      <c r="H69" s="46"/>
      <c r="I69" s="70">
        <f t="shared" ca="1" si="0"/>
        <v>125</v>
      </c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W69" s="46"/>
      <c r="X69" s="46"/>
      <c r="Y69" s="46"/>
      <c r="Z69" s="46"/>
      <c r="AB69" s="46"/>
      <c r="AC69" s="46"/>
      <c r="AD69" s="46"/>
      <c r="AE69" s="46"/>
      <c r="AF69" s="46"/>
      <c r="AG69" s="46"/>
      <c r="AH69" s="46"/>
      <c r="AI69" s="46"/>
      <c r="AJ69" s="46"/>
      <c r="AK69" s="46"/>
      <c r="AL69" s="46"/>
      <c r="AM69" s="46"/>
      <c r="AN69" s="46"/>
      <c r="AO69" s="46"/>
      <c r="AP69" s="46"/>
      <c r="AQ69" s="41"/>
    </row>
    <row r="70" spans="1:43" x14ac:dyDescent="0.3">
      <c r="A70" s="63"/>
      <c r="B70" s="232"/>
      <c r="C70" s="46"/>
      <c r="D70" s="46"/>
      <c r="E70" s="46"/>
      <c r="F70" s="46"/>
      <c r="G70" s="46"/>
      <c r="H70" s="46"/>
      <c r="I70" s="70">
        <f t="shared" ca="1" si="0"/>
        <v>125</v>
      </c>
      <c r="J70" s="46"/>
      <c r="K70" s="46"/>
      <c r="L70" s="46"/>
      <c r="M70" s="46"/>
      <c r="N70" s="46"/>
      <c r="O70" s="46"/>
      <c r="P70" s="46"/>
      <c r="Q70" s="46"/>
      <c r="R70" s="46"/>
      <c r="S70" s="46"/>
      <c r="T70" s="46"/>
      <c r="W70" s="46"/>
      <c r="X70" s="46"/>
      <c r="Y70" s="46"/>
      <c r="Z70" s="46"/>
      <c r="AB70" s="46"/>
      <c r="AC70" s="46"/>
      <c r="AD70" s="46"/>
      <c r="AE70" s="46"/>
      <c r="AF70" s="46"/>
      <c r="AG70" s="46"/>
      <c r="AH70" s="46"/>
      <c r="AI70" s="46"/>
      <c r="AJ70" s="46"/>
      <c r="AK70" s="46"/>
      <c r="AL70" s="46"/>
      <c r="AM70" s="46"/>
      <c r="AN70" s="46"/>
      <c r="AO70" s="46"/>
      <c r="AP70" s="46"/>
      <c r="AQ70" s="41"/>
    </row>
    <row r="71" spans="1:43" x14ac:dyDescent="0.3">
      <c r="A71" s="63"/>
      <c r="B71" s="232"/>
      <c r="C71" s="46"/>
      <c r="D71" s="46"/>
      <c r="E71" s="46"/>
      <c r="F71" s="46"/>
      <c r="G71" s="46"/>
      <c r="H71" s="46"/>
      <c r="I71" s="70">
        <f t="shared" ca="1" si="0"/>
        <v>125</v>
      </c>
      <c r="J71" s="46"/>
      <c r="K71" s="46"/>
      <c r="L71" s="46"/>
      <c r="M71" s="46"/>
      <c r="N71" s="46"/>
      <c r="O71" s="46"/>
      <c r="P71" s="46"/>
      <c r="Q71" s="46"/>
      <c r="R71" s="46"/>
      <c r="S71" s="46"/>
      <c r="T71" s="46"/>
      <c r="W71" s="46"/>
      <c r="X71" s="46"/>
      <c r="Y71" s="46"/>
      <c r="Z71" s="46"/>
      <c r="AB71" s="46"/>
      <c r="AC71" s="46"/>
      <c r="AD71" s="46"/>
      <c r="AE71" s="46"/>
      <c r="AF71" s="46"/>
      <c r="AG71" s="46"/>
      <c r="AH71" s="46"/>
      <c r="AI71" s="46"/>
      <c r="AJ71" s="46"/>
      <c r="AK71" s="46"/>
      <c r="AL71" s="46"/>
      <c r="AM71" s="46"/>
      <c r="AN71" s="46"/>
      <c r="AO71" s="46"/>
      <c r="AP71" s="46"/>
      <c r="AQ71" s="41"/>
    </row>
    <row r="72" spans="1:43" x14ac:dyDescent="0.3">
      <c r="A72" s="63"/>
      <c r="B72" s="232"/>
      <c r="C72" s="46"/>
      <c r="D72" s="46"/>
      <c r="E72" s="46"/>
      <c r="F72" s="46"/>
      <c r="G72" s="46"/>
      <c r="H72" s="46"/>
      <c r="I72" s="70">
        <f t="shared" ca="1" si="0"/>
        <v>125</v>
      </c>
      <c r="J72" s="46"/>
      <c r="K72" s="46"/>
      <c r="L72" s="46"/>
      <c r="M72" s="46"/>
      <c r="N72" s="46"/>
      <c r="O72" s="46"/>
      <c r="P72" s="46"/>
      <c r="Q72" s="46"/>
      <c r="R72" s="46"/>
      <c r="S72" s="46"/>
      <c r="T72" s="46"/>
      <c r="W72" s="46"/>
      <c r="X72" s="46"/>
      <c r="Y72" s="46"/>
      <c r="Z72" s="46"/>
      <c r="AB72" s="46"/>
      <c r="AC72" s="46"/>
      <c r="AD72" s="46"/>
      <c r="AE72" s="46"/>
      <c r="AF72" s="46"/>
      <c r="AG72" s="46"/>
      <c r="AH72" s="46"/>
      <c r="AI72" s="46"/>
      <c r="AJ72" s="46"/>
      <c r="AK72" s="46"/>
      <c r="AL72" s="46"/>
      <c r="AM72" s="46"/>
      <c r="AN72" s="46"/>
      <c r="AO72" s="46"/>
      <c r="AP72" s="46"/>
      <c r="AQ72" s="41"/>
    </row>
    <row r="73" spans="1:43" x14ac:dyDescent="0.3">
      <c r="A73" s="63"/>
      <c r="B73" s="232"/>
      <c r="C73" s="46"/>
      <c r="D73" s="46"/>
      <c r="E73" s="46"/>
      <c r="F73" s="46"/>
      <c r="G73" s="46"/>
      <c r="H73" s="46"/>
      <c r="I73" s="70">
        <f t="shared" ca="1" si="0"/>
        <v>125</v>
      </c>
      <c r="J73" s="46"/>
      <c r="K73" s="46"/>
      <c r="L73" s="46"/>
      <c r="M73" s="46"/>
      <c r="N73" s="46"/>
      <c r="O73" s="46"/>
      <c r="P73" s="46"/>
      <c r="Q73" s="46"/>
      <c r="R73" s="46"/>
      <c r="S73" s="46"/>
      <c r="T73" s="46"/>
      <c r="W73" s="46"/>
      <c r="X73" s="46"/>
      <c r="Y73" s="46"/>
      <c r="Z73" s="46"/>
      <c r="AB73" s="46"/>
      <c r="AC73" s="46"/>
      <c r="AD73" s="46"/>
      <c r="AE73" s="46"/>
      <c r="AF73" s="46"/>
      <c r="AG73" s="46"/>
      <c r="AH73" s="46"/>
      <c r="AI73" s="46"/>
      <c r="AJ73" s="46"/>
      <c r="AK73" s="46"/>
      <c r="AL73" s="46"/>
      <c r="AM73" s="46"/>
      <c r="AN73" s="46"/>
      <c r="AO73" s="46"/>
      <c r="AP73" s="46"/>
      <c r="AQ73" s="41"/>
    </row>
    <row r="74" spans="1:43" x14ac:dyDescent="0.3">
      <c r="A74" s="63"/>
      <c r="B74" s="232"/>
      <c r="C74" s="46"/>
      <c r="D74" s="46"/>
      <c r="E74" s="46"/>
      <c r="F74" s="46"/>
      <c r="G74" s="46"/>
      <c r="H74" s="46"/>
      <c r="I74" s="70">
        <f t="shared" ca="1" si="0"/>
        <v>125</v>
      </c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W74" s="46"/>
      <c r="X74" s="46"/>
      <c r="Y74" s="46"/>
      <c r="Z74" s="46"/>
      <c r="AB74" s="46"/>
      <c r="AC74" s="46"/>
      <c r="AD74" s="46"/>
      <c r="AE74" s="46"/>
      <c r="AF74" s="46"/>
      <c r="AG74" s="46"/>
      <c r="AH74" s="46"/>
      <c r="AI74" s="46"/>
      <c r="AJ74" s="46"/>
      <c r="AK74" s="46"/>
      <c r="AL74" s="46"/>
      <c r="AM74" s="46"/>
      <c r="AN74" s="46"/>
      <c r="AO74" s="46"/>
      <c r="AP74" s="46"/>
      <c r="AQ74" s="41"/>
    </row>
    <row r="75" spans="1:43" x14ac:dyDescent="0.3">
      <c r="A75" s="63"/>
      <c r="B75" s="232"/>
      <c r="C75" s="46"/>
      <c r="D75" s="46"/>
      <c r="E75" s="46"/>
      <c r="F75" s="46"/>
      <c r="G75" s="46"/>
      <c r="H75" s="46"/>
      <c r="I75" s="70">
        <f t="shared" ca="1" si="0"/>
        <v>125</v>
      </c>
      <c r="J75" s="46"/>
      <c r="K75" s="46"/>
      <c r="L75" s="46"/>
      <c r="M75" s="46"/>
      <c r="N75" s="46"/>
      <c r="O75" s="46"/>
      <c r="P75" s="46"/>
      <c r="Q75" s="46"/>
      <c r="R75" s="46"/>
      <c r="S75" s="46"/>
      <c r="T75" s="46"/>
      <c r="W75" s="46"/>
      <c r="X75" s="46"/>
      <c r="Y75" s="46"/>
      <c r="Z75" s="46"/>
      <c r="AB75" s="46"/>
      <c r="AC75" s="46"/>
      <c r="AD75" s="46"/>
      <c r="AE75" s="46"/>
      <c r="AF75" s="46"/>
      <c r="AG75" s="46"/>
      <c r="AH75" s="46"/>
      <c r="AI75" s="46"/>
      <c r="AJ75" s="46"/>
      <c r="AK75" s="46"/>
      <c r="AL75" s="46"/>
      <c r="AM75" s="46"/>
      <c r="AN75" s="46"/>
      <c r="AO75" s="46"/>
      <c r="AP75" s="46"/>
      <c r="AQ75" s="41"/>
    </row>
    <row r="76" spans="1:43" x14ac:dyDescent="0.3">
      <c r="A76" s="63"/>
      <c r="B76" s="232"/>
      <c r="C76" s="46"/>
      <c r="D76" s="46"/>
      <c r="E76" s="46"/>
      <c r="F76" s="46"/>
      <c r="G76" s="46"/>
      <c r="H76" s="46"/>
      <c r="I76" s="70">
        <f t="shared" ca="1" si="0"/>
        <v>125</v>
      </c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W76" s="46"/>
      <c r="X76" s="46"/>
      <c r="Y76" s="46"/>
      <c r="Z76" s="46"/>
      <c r="AB76" s="46"/>
      <c r="AC76" s="46"/>
      <c r="AD76" s="46"/>
      <c r="AE76" s="46"/>
      <c r="AF76" s="46"/>
      <c r="AG76" s="46"/>
      <c r="AH76" s="46"/>
      <c r="AI76" s="46"/>
      <c r="AJ76" s="46"/>
      <c r="AK76" s="46"/>
      <c r="AL76" s="46"/>
      <c r="AM76" s="46"/>
      <c r="AN76" s="46"/>
      <c r="AO76" s="46"/>
      <c r="AP76" s="46"/>
      <c r="AQ76" s="41"/>
    </row>
    <row r="77" spans="1:43" x14ac:dyDescent="0.3">
      <c r="A77" s="63"/>
      <c r="B77" s="232"/>
      <c r="C77" s="46"/>
      <c r="D77" s="46"/>
      <c r="E77" s="46"/>
      <c r="F77" s="46"/>
      <c r="G77" s="46"/>
      <c r="H77" s="46"/>
      <c r="I77" s="70">
        <f t="shared" ref="I77:I88" ca="1" si="1">INT((TODAY()-H77)/365.25)</f>
        <v>125</v>
      </c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W77" s="46"/>
      <c r="X77" s="46"/>
      <c r="Y77" s="46"/>
      <c r="Z77" s="46"/>
      <c r="AB77" s="46"/>
      <c r="AC77" s="46"/>
      <c r="AD77" s="46"/>
      <c r="AE77" s="46"/>
      <c r="AF77" s="46"/>
      <c r="AG77" s="46"/>
      <c r="AH77" s="46"/>
      <c r="AI77" s="46"/>
      <c r="AJ77" s="46"/>
      <c r="AK77" s="46"/>
      <c r="AL77" s="46"/>
      <c r="AM77" s="46"/>
      <c r="AN77" s="46"/>
      <c r="AO77" s="46"/>
      <c r="AP77" s="46"/>
      <c r="AQ77" s="41"/>
    </row>
    <row r="78" spans="1:43" x14ac:dyDescent="0.3">
      <c r="A78" s="63"/>
      <c r="B78" s="232"/>
      <c r="C78" s="46"/>
      <c r="D78" s="46"/>
      <c r="E78" s="46"/>
      <c r="F78" s="46"/>
      <c r="G78" s="46"/>
      <c r="H78" s="46"/>
      <c r="I78" s="70">
        <f t="shared" ca="1" si="1"/>
        <v>125</v>
      </c>
      <c r="J78" s="46"/>
      <c r="K78" s="46"/>
      <c r="L78" s="46"/>
      <c r="M78" s="46"/>
      <c r="N78" s="46"/>
      <c r="O78" s="46"/>
      <c r="P78" s="46"/>
      <c r="Q78" s="46"/>
      <c r="R78" s="46"/>
      <c r="S78" s="46"/>
      <c r="T78" s="46"/>
      <c r="W78" s="46"/>
      <c r="X78" s="46"/>
      <c r="Y78" s="46"/>
      <c r="Z78" s="46"/>
      <c r="AB78" s="46"/>
      <c r="AC78" s="46"/>
      <c r="AD78" s="46"/>
      <c r="AE78" s="46"/>
      <c r="AF78" s="46"/>
      <c r="AG78" s="46"/>
      <c r="AH78" s="46"/>
      <c r="AI78" s="46"/>
      <c r="AJ78" s="46"/>
      <c r="AK78" s="46"/>
      <c r="AL78" s="46"/>
      <c r="AM78" s="46"/>
      <c r="AN78" s="46"/>
      <c r="AO78" s="46"/>
      <c r="AP78" s="46"/>
      <c r="AQ78" s="41"/>
    </row>
    <row r="79" spans="1:43" x14ac:dyDescent="0.3">
      <c r="A79" s="63"/>
      <c r="B79" s="232"/>
      <c r="C79" s="46"/>
      <c r="D79" s="46"/>
      <c r="E79" s="46"/>
      <c r="F79" s="46"/>
      <c r="G79" s="46"/>
      <c r="H79" s="46"/>
      <c r="I79" s="70">
        <f t="shared" ca="1" si="1"/>
        <v>125</v>
      </c>
      <c r="J79" s="46"/>
      <c r="K79" s="46"/>
      <c r="L79" s="46"/>
      <c r="M79" s="46"/>
      <c r="N79" s="46"/>
      <c r="O79" s="46"/>
      <c r="P79" s="46"/>
      <c r="Q79" s="46"/>
      <c r="R79" s="46"/>
      <c r="S79" s="46"/>
      <c r="T79" s="46"/>
      <c r="W79" s="46"/>
      <c r="X79" s="46"/>
      <c r="Y79" s="46"/>
      <c r="Z79" s="46"/>
      <c r="AB79" s="46"/>
      <c r="AC79" s="46"/>
      <c r="AD79" s="46"/>
      <c r="AE79" s="46"/>
      <c r="AF79" s="46"/>
      <c r="AG79" s="46"/>
      <c r="AH79" s="46"/>
      <c r="AI79" s="46"/>
      <c r="AJ79" s="46"/>
      <c r="AK79" s="46"/>
      <c r="AL79" s="46"/>
      <c r="AM79" s="46"/>
      <c r="AN79" s="46"/>
      <c r="AO79" s="46"/>
      <c r="AP79" s="46"/>
      <c r="AQ79" s="41"/>
    </row>
    <row r="80" spans="1:43" x14ac:dyDescent="0.3">
      <c r="A80" s="63"/>
      <c r="B80" s="232"/>
      <c r="C80" s="46"/>
      <c r="D80" s="46"/>
      <c r="E80" s="46"/>
      <c r="F80" s="46"/>
      <c r="G80" s="46"/>
      <c r="H80" s="46"/>
      <c r="I80" s="70">
        <f t="shared" ca="1" si="1"/>
        <v>125</v>
      </c>
      <c r="J80" s="46"/>
      <c r="K80" s="46"/>
      <c r="L80" s="46"/>
      <c r="M80" s="46"/>
      <c r="N80" s="46"/>
      <c r="O80" s="46"/>
      <c r="P80" s="46"/>
      <c r="Q80" s="46"/>
      <c r="R80" s="46"/>
      <c r="S80" s="46"/>
      <c r="T80" s="46"/>
      <c r="W80" s="46"/>
      <c r="X80" s="46"/>
      <c r="Y80" s="46"/>
      <c r="Z80" s="46"/>
      <c r="AB80" s="46"/>
      <c r="AC80" s="46"/>
      <c r="AD80" s="46"/>
      <c r="AE80" s="46"/>
      <c r="AF80" s="46"/>
      <c r="AG80" s="46"/>
      <c r="AH80" s="46"/>
      <c r="AI80" s="46"/>
      <c r="AJ80" s="46"/>
      <c r="AK80" s="46"/>
      <c r="AL80" s="46"/>
      <c r="AM80" s="46"/>
      <c r="AN80" s="46"/>
      <c r="AO80" s="46"/>
      <c r="AP80" s="46"/>
      <c r="AQ80" s="41"/>
    </row>
    <row r="81" spans="1:43" x14ac:dyDescent="0.3">
      <c r="A81" s="63"/>
      <c r="B81" s="232"/>
      <c r="C81" s="46"/>
      <c r="D81" s="46"/>
      <c r="E81" s="46"/>
      <c r="F81" s="46"/>
      <c r="G81" s="46"/>
      <c r="H81" s="46"/>
      <c r="I81" s="70">
        <f t="shared" ca="1" si="1"/>
        <v>125</v>
      </c>
      <c r="J81" s="46"/>
      <c r="K81" s="46"/>
      <c r="L81" s="46"/>
      <c r="M81" s="46"/>
      <c r="N81" s="46"/>
      <c r="O81" s="46"/>
      <c r="P81" s="46"/>
      <c r="Q81" s="46"/>
      <c r="R81" s="46"/>
      <c r="S81" s="46"/>
      <c r="T81" s="46"/>
      <c r="W81" s="46"/>
      <c r="X81" s="46"/>
      <c r="Y81" s="46"/>
      <c r="Z81" s="46"/>
      <c r="AB81" s="46"/>
      <c r="AC81" s="46"/>
      <c r="AD81" s="46"/>
      <c r="AE81" s="46"/>
      <c r="AF81" s="46"/>
      <c r="AG81" s="46"/>
      <c r="AH81" s="46"/>
      <c r="AI81" s="46"/>
      <c r="AJ81" s="46"/>
      <c r="AK81" s="46"/>
      <c r="AL81" s="46"/>
      <c r="AM81" s="46"/>
      <c r="AN81" s="46"/>
      <c r="AO81" s="46"/>
      <c r="AP81" s="46"/>
      <c r="AQ81" s="41"/>
    </row>
    <row r="82" spans="1:43" x14ac:dyDescent="0.3">
      <c r="A82" s="63"/>
      <c r="B82" s="232"/>
      <c r="C82" s="46"/>
      <c r="D82" s="46"/>
      <c r="E82" s="46"/>
      <c r="F82" s="46"/>
      <c r="G82" s="46"/>
      <c r="H82" s="46"/>
      <c r="I82" s="70">
        <f t="shared" ca="1" si="1"/>
        <v>125</v>
      </c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W82" s="46"/>
      <c r="X82" s="46"/>
      <c r="Y82" s="46"/>
      <c r="Z82" s="46"/>
      <c r="AB82" s="46"/>
      <c r="AC82" s="46"/>
      <c r="AD82" s="46"/>
      <c r="AE82" s="46"/>
      <c r="AF82" s="46"/>
      <c r="AG82" s="46"/>
      <c r="AH82" s="46"/>
      <c r="AI82" s="46"/>
      <c r="AJ82" s="46"/>
      <c r="AK82" s="46"/>
      <c r="AL82" s="46"/>
      <c r="AM82" s="46"/>
      <c r="AN82" s="46"/>
      <c r="AO82" s="46"/>
      <c r="AP82" s="46"/>
      <c r="AQ82" s="41"/>
    </row>
    <row r="83" spans="1:43" x14ac:dyDescent="0.3">
      <c r="A83" s="63"/>
      <c r="B83" s="232"/>
      <c r="C83" s="46"/>
      <c r="D83" s="46"/>
      <c r="E83" s="46"/>
      <c r="F83" s="46"/>
      <c r="G83" s="46"/>
      <c r="H83" s="46"/>
      <c r="I83" s="70">
        <f t="shared" ca="1" si="1"/>
        <v>125</v>
      </c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W83" s="46"/>
      <c r="X83" s="46"/>
      <c r="Y83" s="46"/>
      <c r="Z83" s="46"/>
      <c r="AB83" s="46"/>
      <c r="AC83" s="46"/>
      <c r="AD83" s="46"/>
      <c r="AE83" s="46"/>
      <c r="AF83" s="46"/>
      <c r="AG83" s="46"/>
      <c r="AH83" s="46"/>
      <c r="AI83" s="46"/>
      <c r="AJ83" s="46"/>
      <c r="AK83" s="46"/>
      <c r="AL83" s="46"/>
      <c r="AM83" s="46"/>
      <c r="AN83" s="46"/>
      <c r="AO83" s="46"/>
      <c r="AP83" s="46"/>
      <c r="AQ83" s="41"/>
    </row>
    <row r="84" spans="1:43" x14ac:dyDescent="0.3">
      <c r="A84" s="63"/>
      <c r="B84" s="232"/>
      <c r="C84" s="46"/>
      <c r="D84" s="46"/>
      <c r="E84" s="46"/>
      <c r="F84" s="46"/>
      <c r="G84" s="46"/>
      <c r="H84" s="46"/>
      <c r="I84" s="70">
        <f t="shared" ca="1" si="1"/>
        <v>125</v>
      </c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W84" s="46"/>
      <c r="X84" s="46"/>
      <c r="Y84" s="46"/>
      <c r="Z84" s="46"/>
      <c r="AB84" s="46"/>
      <c r="AC84" s="46"/>
      <c r="AD84" s="46"/>
      <c r="AE84" s="46"/>
      <c r="AF84" s="46"/>
      <c r="AG84" s="46"/>
      <c r="AH84" s="46"/>
      <c r="AI84" s="46"/>
      <c r="AJ84" s="46"/>
      <c r="AK84" s="46"/>
      <c r="AL84" s="46"/>
      <c r="AM84" s="46"/>
      <c r="AN84" s="46"/>
      <c r="AO84" s="46"/>
      <c r="AP84" s="46"/>
      <c r="AQ84" s="41"/>
    </row>
    <row r="85" spans="1:43" x14ac:dyDescent="0.3">
      <c r="A85" s="63"/>
      <c r="B85" s="232"/>
      <c r="C85" s="46"/>
      <c r="D85" s="46"/>
      <c r="E85" s="46"/>
      <c r="F85" s="46"/>
      <c r="G85" s="46"/>
      <c r="H85" s="46"/>
      <c r="I85" s="70">
        <f t="shared" ca="1" si="1"/>
        <v>125</v>
      </c>
      <c r="J85" s="46"/>
      <c r="K85" s="46"/>
      <c r="L85" s="46"/>
      <c r="M85" s="46"/>
      <c r="N85" s="46"/>
      <c r="O85" s="46"/>
      <c r="P85" s="46"/>
      <c r="Q85" s="46"/>
      <c r="R85" s="46"/>
      <c r="S85" s="46"/>
      <c r="T85" s="46"/>
      <c r="W85" s="46"/>
      <c r="X85" s="46"/>
      <c r="Y85" s="46"/>
      <c r="Z85" s="46"/>
      <c r="AB85" s="46"/>
      <c r="AC85" s="46"/>
      <c r="AD85" s="46"/>
      <c r="AE85" s="46"/>
      <c r="AF85" s="46"/>
      <c r="AG85" s="46"/>
      <c r="AH85" s="46"/>
      <c r="AI85" s="46"/>
      <c r="AJ85" s="46"/>
      <c r="AK85" s="46"/>
      <c r="AL85" s="46"/>
      <c r="AM85" s="46"/>
      <c r="AN85" s="46"/>
      <c r="AO85" s="46"/>
      <c r="AP85" s="46"/>
      <c r="AQ85" s="41"/>
    </row>
    <row r="86" spans="1:43" x14ac:dyDescent="0.3">
      <c r="A86" s="63"/>
      <c r="B86" s="232"/>
      <c r="C86" s="46"/>
      <c r="D86" s="46"/>
      <c r="E86" s="46"/>
      <c r="F86" s="46"/>
      <c r="G86" s="46"/>
      <c r="H86" s="46"/>
      <c r="I86" s="70">
        <f t="shared" ca="1" si="1"/>
        <v>125</v>
      </c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W86" s="46"/>
      <c r="X86" s="46"/>
      <c r="Y86" s="46"/>
      <c r="Z86" s="46"/>
      <c r="AB86" s="46"/>
      <c r="AC86" s="46"/>
      <c r="AD86" s="46"/>
      <c r="AE86" s="46"/>
      <c r="AF86" s="46"/>
      <c r="AG86" s="46"/>
      <c r="AH86" s="46"/>
      <c r="AI86" s="46"/>
      <c r="AJ86" s="46"/>
      <c r="AK86" s="46"/>
      <c r="AL86" s="46"/>
      <c r="AM86" s="46"/>
      <c r="AN86" s="46"/>
      <c r="AO86" s="46"/>
      <c r="AP86" s="46"/>
      <c r="AQ86" s="41"/>
    </row>
    <row r="87" spans="1:43" x14ac:dyDescent="0.3">
      <c r="A87" s="63"/>
      <c r="B87" s="232"/>
      <c r="C87" s="46"/>
      <c r="D87" s="46"/>
      <c r="E87" s="46"/>
      <c r="F87" s="46"/>
      <c r="G87" s="46"/>
      <c r="H87" s="46"/>
      <c r="I87" s="70">
        <f t="shared" ca="1" si="1"/>
        <v>125</v>
      </c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W87" s="46"/>
      <c r="X87" s="46"/>
      <c r="Y87" s="46"/>
      <c r="Z87" s="46"/>
      <c r="AB87" s="46"/>
      <c r="AC87" s="46"/>
      <c r="AD87" s="46"/>
      <c r="AE87" s="46"/>
      <c r="AF87" s="46"/>
      <c r="AG87" s="46"/>
      <c r="AH87" s="46"/>
      <c r="AI87" s="46"/>
      <c r="AJ87" s="46"/>
      <c r="AK87" s="46"/>
      <c r="AL87" s="46"/>
      <c r="AM87" s="46"/>
      <c r="AN87" s="46"/>
      <c r="AO87" s="46"/>
      <c r="AP87" s="46"/>
      <c r="AQ87" s="41"/>
    </row>
    <row r="88" spans="1:43" x14ac:dyDescent="0.3">
      <c r="A88" s="63"/>
      <c r="B88" s="232"/>
      <c r="C88" s="46"/>
      <c r="D88" s="46"/>
      <c r="E88" s="46"/>
      <c r="F88" s="46"/>
      <c r="G88" s="46"/>
      <c r="H88" s="46"/>
      <c r="I88" s="70">
        <f t="shared" ca="1" si="1"/>
        <v>125</v>
      </c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W88" s="46"/>
      <c r="X88" s="46"/>
      <c r="Y88" s="46"/>
      <c r="Z88" s="46"/>
      <c r="AB88" s="46"/>
      <c r="AC88" s="46"/>
      <c r="AD88" s="46"/>
      <c r="AE88" s="46"/>
      <c r="AF88" s="46"/>
      <c r="AG88" s="46"/>
      <c r="AH88" s="46"/>
      <c r="AI88" s="46"/>
      <c r="AJ88" s="46"/>
      <c r="AK88" s="46"/>
      <c r="AL88" s="46"/>
      <c r="AM88" s="46"/>
      <c r="AN88" s="46"/>
      <c r="AO88" s="46"/>
      <c r="AP88" s="46"/>
      <c r="AQ88" s="41"/>
    </row>
    <row r="89" spans="1:43" x14ac:dyDescent="0.3">
      <c r="A89" s="63"/>
      <c r="B89" s="232"/>
      <c r="C89" s="46"/>
      <c r="D89" s="46"/>
      <c r="E89" s="46"/>
      <c r="F89" s="46"/>
      <c r="G89" s="46"/>
      <c r="H89" s="46"/>
      <c r="I89" s="70">
        <f ca="1">INT((TODAY()-H89)/365.25)</f>
        <v>125</v>
      </c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W89" s="46"/>
      <c r="X89" s="46"/>
      <c r="Y89" s="46"/>
      <c r="Z89" s="46"/>
      <c r="AB89" s="46"/>
      <c r="AC89" s="46"/>
      <c r="AD89" s="46"/>
      <c r="AE89" s="46"/>
      <c r="AF89" s="46"/>
      <c r="AG89" s="46"/>
      <c r="AH89" s="46"/>
      <c r="AI89" s="46"/>
      <c r="AJ89" s="46"/>
      <c r="AK89" s="46"/>
      <c r="AL89" s="46"/>
      <c r="AM89" s="46"/>
      <c r="AN89" s="46"/>
      <c r="AO89" s="46"/>
      <c r="AP89" s="46"/>
      <c r="AQ89" s="41"/>
    </row>
    <row r="90" spans="1:43" x14ac:dyDescent="0.3">
      <c r="A90" s="63"/>
      <c r="B90" s="232"/>
      <c r="C90" s="46"/>
      <c r="D90" s="46"/>
      <c r="E90" s="46"/>
      <c r="F90" s="46"/>
      <c r="G90" s="46"/>
      <c r="H90" s="46"/>
      <c r="I90" s="70">
        <f t="shared" ref="I90:I109" ca="1" si="2">INT((TODAY()-H90)/365.25)</f>
        <v>125</v>
      </c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W90" s="46"/>
      <c r="X90" s="46"/>
      <c r="Y90" s="46"/>
      <c r="Z90" s="46"/>
      <c r="AB90" s="46"/>
      <c r="AC90" s="46"/>
      <c r="AD90" s="46"/>
      <c r="AE90" s="46"/>
      <c r="AF90" s="46"/>
      <c r="AG90" s="46"/>
      <c r="AH90" s="46"/>
      <c r="AI90" s="46"/>
      <c r="AJ90" s="46"/>
      <c r="AK90" s="46"/>
      <c r="AL90" s="46"/>
      <c r="AM90" s="46"/>
      <c r="AN90" s="46"/>
      <c r="AO90" s="46"/>
      <c r="AP90" s="46"/>
      <c r="AQ90" s="41"/>
    </row>
    <row r="91" spans="1:43" x14ac:dyDescent="0.3">
      <c r="A91" s="63"/>
      <c r="B91" s="232"/>
      <c r="C91" s="46"/>
      <c r="D91" s="46"/>
      <c r="E91" s="46"/>
      <c r="F91" s="46"/>
      <c r="G91" s="46"/>
      <c r="H91" s="46"/>
      <c r="I91" s="70">
        <f t="shared" ca="1" si="2"/>
        <v>125</v>
      </c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W91" s="46"/>
      <c r="X91" s="46"/>
      <c r="Y91" s="46"/>
      <c r="Z91" s="46"/>
      <c r="AB91" s="46"/>
      <c r="AC91" s="46"/>
      <c r="AD91" s="46"/>
      <c r="AE91" s="46"/>
      <c r="AF91" s="46"/>
      <c r="AG91" s="46"/>
      <c r="AH91" s="46"/>
      <c r="AI91" s="46"/>
      <c r="AJ91" s="46"/>
      <c r="AK91" s="46"/>
      <c r="AL91" s="46"/>
      <c r="AM91" s="46"/>
      <c r="AN91" s="46"/>
      <c r="AO91" s="46"/>
      <c r="AP91" s="46"/>
      <c r="AQ91" s="41"/>
    </row>
    <row r="92" spans="1:43" x14ac:dyDescent="0.3">
      <c r="A92" s="63"/>
      <c r="B92" s="232"/>
      <c r="C92" s="46"/>
      <c r="D92" s="46"/>
      <c r="E92" s="46"/>
      <c r="F92" s="46"/>
      <c r="G92" s="46"/>
      <c r="H92" s="46"/>
      <c r="I92" s="70">
        <f t="shared" ca="1" si="2"/>
        <v>125</v>
      </c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W92" s="46"/>
      <c r="X92" s="46"/>
      <c r="Y92" s="46"/>
      <c r="Z92" s="46"/>
      <c r="AB92" s="46"/>
      <c r="AC92" s="46"/>
      <c r="AD92" s="46"/>
      <c r="AE92" s="46"/>
      <c r="AF92" s="46"/>
      <c r="AG92" s="46"/>
      <c r="AH92" s="46"/>
      <c r="AI92" s="46"/>
      <c r="AJ92" s="46"/>
      <c r="AK92" s="46"/>
      <c r="AL92" s="46"/>
      <c r="AM92" s="46"/>
      <c r="AN92" s="46"/>
      <c r="AO92" s="46"/>
      <c r="AP92" s="46"/>
      <c r="AQ92" s="41"/>
    </row>
    <row r="93" spans="1:43" x14ac:dyDescent="0.3">
      <c r="A93" s="63"/>
      <c r="B93" s="232"/>
      <c r="C93" s="46"/>
      <c r="D93" s="46"/>
      <c r="E93" s="46"/>
      <c r="F93" s="46"/>
      <c r="G93" s="46"/>
      <c r="H93" s="46"/>
      <c r="I93" s="70">
        <f t="shared" ca="1" si="2"/>
        <v>125</v>
      </c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W93" s="46"/>
      <c r="X93" s="46"/>
      <c r="Y93" s="46"/>
      <c r="Z93" s="46"/>
      <c r="AB93" s="46"/>
      <c r="AC93" s="46"/>
      <c r="AD93" s="46"/>
      <c r="AE93" s="46"/>
      <c r="AF93" s="46"/>
      <c r="AG93" s="46"/>
      <c r="AH93" s="46"/>
      <c r="AI93" s="46"/>
      <c r="AJ93" s="46"/>
      <c r="AK93" s="46"/>
      <c r="AL93" s="46"/>
      <c r="AM93" s="46"/>
      <c r="AN93" s="46"/>
      <c r="AO93" s="46"/>
      <c r="AP93" s="46"/>
      <c r="AQ93" s="41"/>
    </row>
    <row r="94" spans="1:43" x14ac:dyDescent="0.3">
      <c r="A94" s="63"/>
      <c r="B94" s="232"/>
      <c r="C94" s="46"/>
      <c r="D94" s="46"/>
      <c r="E94" s="46"/>
      <c r="F94" s="46"/>
      <c r="G94" s="46"/>
      <c r="H94" s="46"/>
      <c r="I94" s="70">
        <f t="shared" ca="1" si="2"/>
        <v>125</v>
      </c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W94" s="46"/>
      <c r="X94" s="46"/>
      <c r="Y94" s="46"/>
      <c r="Z94" s="46"/>
      <c r="AB94" s="46"/>
      <c r="AC94" s="46"/>
      <c r="AD94" s="46"/>
      <c r="AE94" s="46"/>
      <c r="AF94" s="46"/>
      <c r="AG94" s="46"/>
      <c r="AH94" s="46"/>
      <c r="AI94" s="46"/>
      <c r="AJ94" s="46"/>
      <c r="AK94" s="46"/>
      <c r="AL94" s="46"/>
      <c r="AM94" s="46"/>
      <c r="AN94" s="46"/>
      <c r="AO94" s="46"/>
      <c r="AP94" s="46"/>
      <c r="AQ94" s="41"/>
    </row>
    <row r="95" spans="1:43" x14ac:dyDescent="0.3">
      <c r="A95" s="63"/>
      <c r="B95" s="232"/>
      <c r="C95" s="46"/>
      <c r="D95" s="46"/>
      <c r="E95" s="46"/>
      <c r="F95" s="46"/>
      <c r="G95" s="46"/>
      <c r="H95" s="46"/>
      <c r="I95" s="70">
        <f t="shared" ca="1" si="2"/>
        <v>125</v>
      </c>
      <c r="J95" s="46"/>
      <c r="K95" s="46"/>
      <c r="L95" s="46"/>
      <c r="M95" s="46"/>
      <c r="N95" s="46"/>
      <c r="O95" s="46"/>
      <c r="P95" s="46"/>
      <c r="Q95" s="46"/>
      <c r="R95" s="46"/>
      <c r="S95" s="46"/>
      <c r="T95" s="46"/>
      <c r="W95" s="46"/>
      <c r="X95" s="46"/>
      <c r="Y95" s="46"/>
      <c r="Z95" s="46"/>
      <c r="AB95" s="46"/>
      <c r="AC95" s="46"/>
      <c r="AD95" s="46"/>
      <c r="AE95" s="46"/>
      <c r="AF95" s="46"/>
      <c r="AG95" s="46"/>
      <c r="AH95" s="46"/>
      <c r="AI95" s="46"/>
      <c r="AJ95" s="46"/>
      <c r="AK95" s="46"/>
      <c r="AL95" s="46"/>
      <c r="AM95" s="46"/>
      <c r="AN95" s="46"/>
      <c r="AO95" s="46"/>
      <c r="AP95" s="46"/>
      <c r="AQ95" s="41"/>
    </row>
    <row r="96" spans="1:43" x14ac:dyDescent="0.3">
      <c r="A96" s="63"/>
      <c r="B96" s="232"/>
      <c r="C96" s="46"/>
      <c r="D96" s="46"/>
      <c r="E96" s="46"/>
      <c r="F96" s="46"/>
      <c r="G96" s="46"/>
      <c r="H96" s="46"/>
      <c r="I96" s="70">
        <f t="shared" ca="1" si="2"/>
        <v>125</v>
      </c>
      <c r="J96" s="46"/>
      <c r="K96" s="46"/>
      <c r="L96" s="46"/>
      <c r="M96" s="46"/>
      <c r="N96" s="46"/>
      <c r="O96" s="46"/>
      <c r="P96" s="46"/>
      <c r="Q96" s="46"/>
      <c r="R96" s="46"/>
      <c r="S96" s="46"/>
      <c r="T96" s="46"/>
      <c r="W96" s="46"/>
      <c r="X96" s="46"/>
      <c r="Y96" s="46"/>
      <c r="Z96" s="46"/>
      <c r="AB96" s="46"/>
      <c r="AC96" s="46"/>
      <c r="AD96" s="46"/>
      <c r="AE96" s="46"/>
      <c r="AF96" s="46"/>
      <c r="AG96" s="46"/>
      <c r="AH96" s="46"/>
      <c r="AI96" s="46"/>
      <c r="AJ96" s="46"/>
      <c r="AK96" s="46"/>
      <c r="AL96" s="46"/>
      <c r="AM96" s="46"/>
      <c r="AN96" s="46"/>
      <c r="AO96" s="46"/>
      <c r="AP96" s="46"/>
      <c r="AQ96" s="41"/>
    </row>
    <row r="97" spans="1:43" x14ac:dyDescent="0.3">
      <c r="A97" s="63"/>
      <c r="B97" s="232"/>
      <c r="C97" s="46"/>
      <c r="D97" s="46"/>
      <c r="E97" s="46"/>
      <c r="F97" s="46"/>
      <c r="G97" s="46"/>
      <c r="H97" s="46"/>
      <c r="I97" s="70">
        <f t="shared" ca="1" si="2"/>
        <v>125</v>
      </c>
      <c r="J97" s="46"/>
      <c r="K97" s="46"/>
      <c r="L97" s="46"/>
      <c r="M97" s="46"/>
      <c r="N97" s="46"/>
      <c r="O97" s="46"/>
      <c r="P97" s="46"/>
      <c r="Q97" s="46"/>
      <c r="R97" s="46"/>
      <c r="S97" s="46"/>
      <c r="T97" s="46"/>
      <c r="W97" s="46"/>
      <c r="X97" s="46"/>
      <c r="Y97" s="46"/>
      <c r="Z97" s="46"/>
      <c r="AB97" s="46"/>
      <c r="AC97" s="46"/>
      <c r="AD97" s="46"/>
      <c r="AE97" s="46"/>
      <c r="AF97" s="46"/>
      <c r="AG97" s="46"/>
      <c r="AH97" s="46"/>
      <c r="AI97" s="46"/>
      <c r="AJ97" s="46"/>
      <c r="AK97" s="46"/>
      <c r="AL97" s="46"/>
      <c r="AM97" s="46"/>
      <c r="AN97" s="46"/>
      <c r="AO97" s="46"/>
      <c r="AP97" s="46"/>
      <c r="AQ97" s="41"/>
    </row>
    <row r="98" spans="1:43" x14ac:dyDescent="0.3">
      <c r="A98" s="63"/>
      <c r="B98" s="232"/>
      <c r="C98" s="46"/>
      <c r="D98" s="46"/>
      <c r="E98" s="46"/>
      <c r="F98" s="46"/>
      <c r="G98" s="46"/>
      <c r="H98" s="46"/>
      <c r="I98" s="70">
        <f t="shared" ca="1" si="2"/>
        <v>125</v>
      </c>
      <c r="J98" s="46"/>
      <c r="K98" s="46"/>
      <c r="L98" s="46"/>
      <c r="M98" s="46"/>
      <c r="N98" s="46"/>
      <c r="O98" s="46"/>
      <c r="P98" s="46"/>
      <c r="Q98" s="46"/>
      <c r="R98" s="46"/>
      <c r="S98" s="46"/>
      <c r="T98" s="46"/>
      <c r="W98" s="46"/>
      <c r="X98" s="46"/>
      <c r="Y98" s="46"/>
      <c r="Z98" s="46"/>
      <c r="AB98" s="46"/>
      <c r="AC98" s="46"/>
      <c r="AD98" s="46"/>
      <c r="AE98" s="46"/>
      <c r="AF98" s="46"/>
      <c r="AG98" s="46"/>
      <c r="AH98" s="46"/>
      <c r="AI98" s="46"/>
      <c r="AJ98" s="46"/>
      <c r="AK98" s="46"/>
      <c r="AL98" s="46"/>
      <c r="AM98" s="46"/>
      <c r="AN98" s="46"/>
      <c r="AO98" s="46"/>
      <c r="AP98" s="46"/>
      <c r="AQ98" s="41"/>
    </row>
    <row r="99" spans="1:43" x14ac:dyDescent="0.3">
      <c r="A99" s="63"/>
      <c r="B99" s="232"/>
      <c r="C99" s="46"/>
      <c r="D99" s="46"/>
      <c r="E99" s="46"/>
      <c r="F99" s="46"/>
      <c r="G99" s="46"/>
      <c r="H99" s="46"/>
      <c r="I99" s="70">
        <f t="shared" ca="1" si="2"/>
        <v>125</v>
      </c>
      <c r="J99" s="46"/>
      <c r="K99" s="46"/>
      <c r="L99" s="46"/>
      <c r="M99" s="46"/>
      <c r="N99" s="46"/>
      <c r="O99" s="46"/>
      <c r="P99" s="46"/>
      <c r="Q99" s="46"/>
      <c r="R99" s="46"/>
      <c r="S99" s="46"/>
      <c r="T99" s="46"/>
      <c r="W99" s="46"/>
      <c r="X99" s="46"/>
      <c r="Y99" s="46"/>
      <c r="Z99" s="46"/>
      <c r="AB99" s="46"/>
      <c r="AC99" s="46"/>
      <c r="AD99" s="46"/>
      <c r="AE99" s="46"/>
      <c r="AF99" s="46"/>
      <c r="AG99" s="46"/>
      <c r="AH99" s="46"/>
      <c r="AI99" s="46"/>
      <c r="AJ99" s="46"/>
      <c r="AK99" s="46"/>
      <c r="AL99" s="46"/>
      <c r="AM99" s="46"/>
      <c r="AN99" s="46"/>
      <c r="AO99" s="46"/>
      <c r="AP99" s="46"/>
      <c r="AQ99" s="41"/>
    </row>
    <row r="100" spans="1:43" x14ac:dyDescent="0.3">
      <c r="A100" s="63"/>
      <c r="B100" s="232"/>
      <c r="C100" s="46"/>
      <c r="D100" s="46"/>
      <c r="E100" s="46"/>
      <c r="F100" s="46"/>
      <c r="G100" s="46"/>
      <c r="H100" s="46"/>
      <c r="I100" s="70">
        <f t="shared" ca="1" si="2"/>
        <v>125</v>
      </c>
      <c r="J100" s="46"/>
      <c r="K100" s="46"/>
      <c r="L100" s="46"/>
      <c r="M100" s="46"/>
      <c r="N100" s="46"/>
      <c r="O100" s="46"/>
      <c r="P100" s="46"/>
      <c r="Q100" s="46"/>
      <c r="R100" s="46"/>
      <c r="S100" s="46"/>
      <c r="T100" s="46"/>
      <c r="W100" s="46"/>
      <c r="X100" s="46"/>
      <c r="Y100" s="46"/>
      <c r="Z100" s="46"/>
      <c r="AB100" s="46"/>
      <c r="AC100" s="46"/>
      <c r="AD100" s="46"/>
      <c r="AE100" s="46"/>
      <c r="AF100" s="46"/>
      <c r="AG100" s="46"/>
      <c r="AH100" s="46"/>
      <c r="AI100" s="46"/>
      <c r="AJ100" s="46"/>
      <c r="AK100" s="46"/>
      <c r="AL100" s="46"/>
      <c r="AM100" s="46"/>
      <c r="AN100" s="46"/>
      <c r="AO100" s="46"/>
      <c r="AP100" s="46"/>
      <c r="AQ100" s="41"/>
    </row>
    <row r="101" spans="1:43" x14ac:dyDescent="0.3">
      <c r="A101" s="63"/>
      <c r="B101" s="232"/>
      <c r="C101" s="46"/>
      <c r="D101" s="46"/>
      <c r="E101" s="46"/>
      <c r="F101" s="46"/>
      <c r="G101" s="46"/>
      <c r="H101" s="46"/>
      <c r="I101" s="70">
        <f t="shared" ca="1" si="2"/>
        <v>125</v>
      </c>
      <c r="J101" s="46"/>
      <c r="K101" s="46"/>
      <c r="L101" s="46"/>
      <c r="M101" s="46"/>
      <c r="N101" s="46"/>
      <c r="O101" s="46"/>
      <c r="P101" s="46"/>
      <c r="Q101" s="46"/>
      <c r="R101" s="46"/>
      <c r="S101" s="46"/>
      <c r="T101" s="46"/>
      <c r="W101" s="46"/>
      <c r="X101" s="46"/>
      <c r="Y101" s="46"/>
      <c r="Z101" s="46"/>
      <c r="AB101" s="46"/>
      <c r="AC101" s="46"/>
      <c r="AD101" s="46"/>
      <c r="AE101" s="46"/>
      <c r="AF101" s="46"/>
      <c r="AG101" s="46"/>
      <c r="AH101" s="46"/>
      <c r="AI101" s="46"/>
      <c r="AJ101" s="46"/>
      <c r="AK101" s="46"/>
      <c r="AL101" s="46"/>
      <c r="AM101" s="46"/>
      <c r="AN101" s="46"/>
      <c r="AO101" s="46"/>
      <c r="AP101" s="46"/>
      <c r="AQ101" s="41"/>
    </row>
    <row r="102" spans="1:43" x14ac:dyDescent="0.3">
      <c r="A102" s="63"/>
      <c r="B102" s="232"/>
      <c r="C102" s="46"/>
      <c r="D102" s="46"/>
      <c r="E102" s="46"/>
      <c r="F102" s="46"/>
      <c r="G102" s="46"/>
      <c r="H102" s="46"/>
      <c r="I102" s="70">
        <f t="shared" ca="1" si="2"/>
        <v>125</v>
      </c>
      <c r="J102" s="46"/>
      <c r="K102" s="46"/>
      <c r="L102" s="46"/>
      <c r="M102" s="46"/>
      <c r="N102" s="46"/>
      <c r="O102" s="46"/>
      <c r="P102" s="46"/>
      <c r="Q102" s="46"/>
      <c r="R102" s="46"/>
      <c r="S102" s="46"/>
      <c r="T102" s="46"/>
      <c r="W102" s="46"/>
      <c r="X102" s="46"/>
      <c r="Y102" s="46"/>
      <c r="Z102" s="46"/>
      <c r="AB102" s="46"/>
      <c r="AC102" s="46"/>
      <c r="AD102" s="46"/>
      <c r="AE102" s="46"/>
      <c r="AF102" s="46"/>
      <c r="AG102" s="46"/>
      <c r="AH102" s="46"/>
      <c r="AI102" s="46"/>
      <c r="AJ102" s="46"/>
      <c r="AK102" s="46"/>
      <c r="AL102" s="46"/>
      <c r="AM102" s="46"/>
      <c r="AN102" s="46"/>
      <c r="AO102" s="46"/>
      <c r="AP102" s="46"/>
      <c r="AQ102" s="41"/>
    </row>
    <row r="103" spans="1:43" x14ac:dyDescent="0.3">
      <c r="A103" s="63"/>
      <c r="B103" s="232"/>
      <c r="C103" s="46"/>
      <c r="D103" s="46"/>
      <c r="E103" s="46"/>
      <c r="F103" s="46"/>
      <c r="G103" s="46"/>
      <c r="H103" s="46"/>
      <c r="I103" s="70">
        <f t="shared" ca="1" si="2"/>
        <v>125</v>
      </c>
      <c r="J103" s="46"/>
      <c r="K103" s="46"/>
      <c r="L103" s="46"/>
      <c r="M103" s="46"/>
      <c r="N103" s="46"/>
      <c r="O103" s="46"/>
      <c r="P103" s="46"/>
      <c r="Q103" s="46"/>
      <c r="R103" s="46"/>
      <c r="S103" s="46"/>
      <c r="T103" s="46"/>
      <c r="W103" s="46"/>
      <c r="X103" s="46"/>
      <c r="Y103" s="46"/>
      <c r="Z103" s="46"/>
      <c r="AB103" s="46"/>
      <c r="AC103" s="46"/>
      <c r="AD103" s="46"/>
      <c r="AE103" s="4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1"/>
    </row>
    <row r="104" spans="1:43" x14ac:dyDescent="0.3">
      <c r="A104" s="63"/>
      <c r="B104" s="232"/>
      <c r="C104" s="46"/>
      <c r="D104" s="46"/>
      <c r="E104" s="46"/>
      <c r="F104" s="46"/>
      <c r="G104" s="46"/>
      <c r="H104" s="46"/>
      <c r="I104" s="70">
        <f t="shared" ca="1" si="2"/>
        <v>125</v>
      </c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W104" s="46"/>
      <c r="X104" s="46"/>
      <c r="Y104" s="46"/>
      <c r="Z104" s="46"/>
      <c r="AB104" s="46"/>
      <c r="AC104" s="46"/>
      <c r="AD104" s="46"/>
      <c r="AE104" s="46"/>
      <c r="AF104" s="46"/>
      <c r="AG104" s="46"/>
      <c r="AH104" s="46"/>
      <c r="AI104" s="46"/>
      <c r="AJ104" s="46"/>
      <c r="AK104" s="46"/>
      <c r="AL104" s="46"/>
      <c r="AM104" s="46"/>
      <c r="AN104" s="46"/>
      <c r="AO104" s="46"/>
      <c r="AP104" s="46"/>
      <c r="AQ104" s="41"/>
    </row>
    <row r="105" spans="1:43" x14ac:dyDescent="0.3">
      <c r="A105" s="63"/>
      <c r="B105" s="232"/>
      <c r="C105" s="46"/>
      <c r="D105" s="46"/>
      <c r="E105" s="46"/>
      <c r="F105" s="46"/>
      <c r="G105" s="46"/>
      <c r="H105" s="46"/>
      <c r="I105" s="70">
        <f t="shared" ca="1" si="2"/>
        <v>125</v>
      </c>
      <c r="J105" s="46"/>
      <c r="K105" s="46"/>
      <c r="L105" s="46"/>
      <c r="M105" s="46"/>
      <c r="N105" s="46"/>
      <c r="O105" s="46"/>
      <c r="P105" s="46"/>
      <c r="Q105" s="46"/>
      <c r="R105" s="46"/>
      <c r="S105" s="46"/>
      <c r="T105" s="46"/>
      <c r="W105" s="46"/>
      <c r="X105" s="46"/>
      <c r="Y105" s="46"/>
      <c r="Z105" s="46"/>
      <c r="AB105" s="46"/>
      <c r="AC105" s="46"/>
      <c r="AD105" s="46"/>
      <c r="AE105" s="46"/>
      <c r="AF105" s="46"/>
      <c r="AG105" s="46"/>
      <c r="AH105" s="46"/>
      <c r="AI105" s="46"/>
      <c r="AJ105" s="46"/>
      <c r="AK105" s="46"/>
      <c r="AL105" s="46"/>
      <c r="AM105" s="46"/>
      <c r="AN105" s="46"/>
      <c r="AO105" s="46"/>
      <c r="AP105" s="46"/>
      <c r="AQ105" s="41"/>
    </row>
    <row r="106" spans="1:43" x14ac:dyDescent="0.3">
      <c r="A106" s="63"/>
      <c r="B106" s="232"/>
      <c r="C106" s="46"/>
      <c r="D106" s="46"/>
      <c r="E106" s="46"/>
      <c r="F106" s="46"/>
      <c r="G106" s="46"/>
      <c r="H106" s="46"/>
      <c r="I106" s="70">
        <f t="shared" ca="1" si="2"/>
        <v>125</v>
      </c>
      <c r="J106" s="46"/>
      <c r="K106" s="46"/>
      <c r="L106" s="46"/>
      <c r="M106" s="46"/>
      <c r="N106" s="46"/>
      <c r="O106" s="46"/>
      <c r="P106" s="46"/>
      <c r="Q106" s="46"/>
      <c r="R106" s="46"/>
      <c r="S106" s="46"/>
      <c r="T106" s="46"/>
      <c r="W106" s="46"/>
      <c r="X106" s="46"/>
      <c r="Y106" s="46"/>
      <c r="Z106" s="46"/>
      <c r="AB106" s="46"/>
      <c r="AC106" s="46"/>
      <c r="AD106" s="46"/>
      <c r="AE106" s="46"/>
      <c r="AF106" s="46"/>
      <c r="AG106" s="46"/>
      <c r="AH106" s="46"/>
      <c r="AI106" s="46"/>
      <c r="AJ106" s="46"/>
      <c r="AK106" s="46"/>
      <c r="AL106" s="46"/>
      <c r="AM106" s="46"/>
      <c r="AN106" s="46"/>
      <c r="AO106" s="46"/>
      <c r="AP106" s="46"/>
      <c r="AQ106" s="41"/>
    </row>
    <row r="107" spans="1:43" x14ac:dyDescent="0.3">
      <c r="A107" s="63"/>
      <c r="B107" s="232"/>
      <c r="C107" s="46"/>
      <c r="D107" s="46"/>
      <c r="E107" s="46"/>
      <c r="F107" s="46"/>
      <c r="G107" s="46"/>
      <c r="H107" s="46"/>
      <c r="I107" s="70">
        <f t="shared" ca="1" si="2"/>
        <v>125</v>
      </c>
      <c r="J107" s="46"/>
      <c r="K107" s="46"/>
      <c r="L107" s="46"/>
      <c r="M107" s="46"/>
      <c r="N107" s="46"/>
      <c r="O107" s="46"/>
      <c r="P107" s="46"/>
      <c r="Q107" s="46"/>
      <c r="R107" s="46"/>
      <c r="S107" s="46"/>
      <c r="T107" s="46"/>
      <c r="W107" s="46"/>
      <c r="X107" s="46"/>
      <c r="Y107" s="46"/>
      <c r="Z107" s="46"/>
      <c r="AB107" s="46"/>
      <c r="AC107" s="46"/>
      <c r="AD107" s="46"/>
      <c r="AE107" s="46"/>
      <c r="AF107" s="46"/>
      <c r="AG107" s="46"/>
      <c r="AH107" s="46"/>
      <c r="AI107" s="46"/>
      <c r="AJ107" s="46"/>
      <c r="AK107" s="46"/>
      <c r="AL107" s="46"/>
      <c r="AM107" s="46"/>
      <c r="AN107" s="46"/>
      <c r="AO107" s="46"/>
      <c r="AP107" s="46"/>
      <c r="AQ107" s="41"/>
    </row>
    <row r="108" spans="1:43" x14ac:dyDescent="0.3">
      <c r="A108" s="63"/>
      <c r="B108" s="232"/>
      <c r="C108" s="46"/>
      <c r="D108" s="46"/>
      <c r="E108" s="46"/>
      <c r="F108" s="46"/>
      <c r="G108" s="46"/>
      <c r="H108" s="46"/>
      <c r="I108" s="70">
        <f t="shared" ca="1" si="2"/>
        <v>125</v>
      </c>
      <c r="J108" s="46"/>
      <c r="K108" s="46"/>
      <c r="L108" s="46"/>
      <c r="M108" s="46"/>
      <c r="N108" s="46"/>
      <c r="O108" s="46"/>
      <c r="P108" s="46"/>
      <c r="Q108" s="46"/>
      <c r="R108" s="46"/>
      <c r="S108" s="46"/>
      <c r="T108" s="46"/>
      <c r="W108" s="46"/>
      <c r="X108" s="46"/>
      <c r="Y108" s="46"/>
      <c r="Z108" s="46"/>
      <c r="AB108" s="46"/>
      <c r="AC108" s="46"/>
      <c r="AD108" s="46"/>
      <c r="AE108" s="46"/>
      <c r="AF108" s="46"/>
      <c r="AG108" s="46"/>
      <c r="AH108" s="46"/>
      <c r="AI108" s="46"/>
      <c r="AJ108" s="46"/>
      <c r="AK108" s="46"/>
      <c r="AL108" s="46"/>
      <c r="AM108" s="46"/>
      <c r="AN108" s="46"/>
      <c r="AO108" s="46"/>
      <c r="AP108" s="46"/>
      <c r="AQ108" s="41"/>
    </row>
    <row r="109" spans="1:43" x14ac:dyDescent="0.3">
      <c r="A109" s="63"/>
      <c r="B109" s="232"/>
      <c r="C109" s="46"/>
      <c r="D109" s="46"/>
      <c r="E109" s="46"/>
      <c r="F109" s="46"/>
      <c r="G109" s="46"/>
      <c r="H109" s="46"/>
      <c r="I109" s="70">
        <f t="shared" ca="1" si="2"/>
        <v>125</v>
      </c>
      <c r="J109" s="46"/>
      <c r="K109" s="46"/>
      <c r="L109" s="46"/>
      <c r="M109" s="46"/>
      <c r="N109" s="46"/>
      <c r="O109" s="46"/>
      <c r="P109" s="46"/>
      <c r="Q109" s="46"/>
      <c r="R109" s="46"/>
      <c r="S109" s="46"/>
      <c r="T109" s="46"/>
      <c r="W109" s="46"/>
      <c r="X109" s="46"/>
      <c r="Y109" s="46"/>
      <c r="Z109" s="46"/>
      <c r="AB109" s="46"/>
      <c r="AC109" s="46"/>
      <c r="AD109" s="46"/>
      <c r="AE109" s="46"/>
      <c r="AF109" s="46"/>
      <c r="AG109" s="46"/>
      <c r="AH109" s="46"/>
      <c r="AI109" s="46"/>
      <c r="AJ109" s="46"/>
      <c r="AK109" s="46"/>
      <c r="AL109" s="46"/>
      <c r="AM109" s="46"/>
      <c r="AN109" s="46"/>
      <c r="AO109" s="46"/>
      <c r="AP109" s="46"/>
      <c r="AQ109" s="41"/>
    </row>
    <row r="110" spans="1:43" x14ac:dyDescent="0.3">
      <c r="A110" s="63"/>
      <c r="B110" s="232"/>
      <c r="C110" s="46"/>
      <c r="D110" s="46"/>
      <c r="E110" s="46"/>
      <c r="F110" s="46"/>
      <c r="G110" s="46"/>
      <c r="H110" s="46"/>
      <c r="I110" s="70">
        <f ca="1">INT((TODAY()-H110)/365.25)</f>
        <v>125</v>
      </c>
      <c r="J110" s="46"/>
      <c r="K110" s="46"/>
      <c r="L110" s="46"/>
      <c r="M110" s="46"/>
      <c r="N110" s="46"/>
      <c r="O110" s="46"/>
      <c r="P110" s="46"/>
      <c r="Q110" s="46"/>
      <c r="R110" s="46"/>
      <c r="S110" s="46"/>
      <c r="T110" s="46"/>
      <c r="W110" s="46"/>
      <c r="X110" s="46"/>
      <c r="Y110" s="46"/>
      <c r="Z110" s="46"/>
      <c r="AB110" s="46"/>
      <c r="AC110" s="46"/>
      <c r="AD110" s="46"/>
      <c r="AE110" s="4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1"/>
    </row>
    <row r="111" spans="1:43" x14ac:dyDescent="0.3">
      <c r="A111" s="63"/>
      <c r="B111" s="232"/>
      <c r="C111" s="46"/>
      <c r="D111" s="46"/>
      <c r="E111" s="46"/>
      <c r="F111" s="46"/>
      <c r="G111" s="46"/>
      <c r="H111" s="46"/>
      <c r="I111" s="70">
        <f t="shared" ref="I111:I124" ca="1" si="3">INT((TODAY()-H111)/365.25)</f>
        <v>125</v>
      </c>
      <c r="J111" s="46"/>
      <c r="K111" s="46"/>
      <c r="L111" s="46"/>
      <c r="M111" s="46"/>
      <c r="N111" s="46"/>
      <c r="O111" s="46"/>
      <c r="P111" s="46"/>
      <c r="Q111" s="46"/>
      <c r="R111" s="46"/>
      <c r="S111" s="46"/>
      <c r="T111" s="46"/>
      <c r="W111" s="46"/>
      <c r="X111" s="46"/>
      <c r="Y111" s="46"/>
      <c r="Z111" s="46"/>
      <c r="AB111" s="46"/>
      <c r="AC111" s="46"/>
      <c r="AD111" s="46"/>
      <c r="AE111" s="4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1"/>
    </row>
    <row r="112" spans="1:43" x14ac:dyDescent="0.3">
      <c r="A112" s="63"/>
      <c r="B112" s="232"/>
      <c r="C112" s="46"/>
      <c r="D112" s="46"/>
      <c r="E112" s="46"/>
      <c r="F112" s="46"/>
      <c r="G112" s="46"/>
      <c r="H112" s="46"/>
      <c r="I112" s="70">
        <f t="shared" ca="1" si="3"/>
        <v>125</v>
      </c>
      <c r="J112" s="46"/>
      <c r="K112" s="46"/>
      <c r="L112" s="46"/>
      <c r="M112" s="46"/>
      <c r="N112" s="46"/>
      <c r="O112" s="46"/>
      <c r="P112" s="46"/>
      <c r="Q112" s="46"/>
      <c r="R112" s="46"/>
      <c r="S112" s="46"/>
      <c r="T112" s="46"/>
      <c r="W112" s="46"/>
      <c r="X112" s="46"/>
      <c r="Y112" s="46"/>
      <c r="Z112" s="46"/>
      <c r="AB112" s="46"/>
      <c r="AC112" s="46"/>
      <c r="AD112" s="46"/>
      <c r="AE112" s="46"/>
      <c r="AF112" s="46"/>
      <c r="AG112" s="46"/>
      <c r="AH112" s="46"/>
      <c r="AI112" s="46"/>
      <c r="AJ112" s="46"/>
      <c r="AK112" s="46"/>
      <c r="AL112" s="46"/>
      <c r="AM112" s="46"/>
      <c r="AN112" s="46"/>
      <c r="AO112" s="46"/>
      <c r="AP112" s="46"/>
      <c r="AQ112" s="41"/>
    </row>
    <row r="113" spans="1:43" x14ac:dyDescent="0.3">
      <c r="A113" s="63"/>
      <c r="B113" s="232"/>
      <c r="C113" s="46"/>
      <c r="D113" s="46"/>
      <c r="E113" s="46"/>
      <c r="F113" s="46"/>
      <c r="G113" s="46"/>
      <c r="H113" s="46"/>
      <c r="I113" s="70">
        <f t="shared" ca="1" si="3"/>
        <v>125</v>
      </c>
      <c r="J113" s="46"/>
      <c r="K113" s="46"/>
      <c r="L113" s="46"/>
      <c r="M113" s="46"/>
      <c r="N113" s="46"/>
      <c r="O113" s="46"/>
      <c r="P113" s="46"/>
      <c r="Q113" s="46"/>
      <c r="R113" s="46"/>
      <c r="S113" s="46"/>
      <c r="T113" s="46"/>
      <c r="W113" s="46"/>
      <c r="X113" s="46"/>
      <c r="Y113" s="46"/>
      <c r="Z113" s="46"/>
      <c r="AB113" s="46"/>
      <c r="AC113" s="46"/>
      <c r="AD113" s="46"/>
      <c r="AE113" s="46"/>
      <c r="AF113" s="46"/>
      <c r="AG113" s="46"/>
      <c r="AH113" s="46"/>
      <c r="AI113" s="46"/>
      <c r="AJ113" s="46"/>
      <c r="AK113" s="46"/>
      <c r="AL113" s="46"/>
      <c r="AM113" s="46"/>
      <c r="AN113" s="46"/>
      <c r="AO113" s="46"/>
      <c r="AP113" s="46"/>
      <c r="AQ113" s="41"/>
    </row>
    <row r="114" spans="1:43" x14ac:dyDescent="0.3">
      <c r="A114" s="63"/>
      <c r="B114" s="232"/>
      <c r="C114" s="46"/>
      <c r="D114" s="46"/>
      <c r="E114" s="46"/>
      <c r="F114" s="46"/>
      <c r="G114" s="46"/>
      <c r="H114" s="46"/>
      <c r="I114" s="70">
        <f t="shared" ca="1" si="3"/>
        <v>125</v>
      </c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W114" s="46"/>
      <c r="X114" s="46"/>
      <c r="Y114" s="46"/>
      <c r="Z114" s="46"/>
      <c r="AB114" s="46"/>
      <c r="AC114" s="46"/>
      <c r="AD114" s="46"/>
      <c r="AE114" s="46"/>
      <c r="AF114" s="46"/>
      <c r="AG114" s="46"/>
      <c r="AH114" s="46"/>
      <c r="AI114" s="46"/>
      <c r="AJ114" s="46"/>
      <c r="AK114" s="46"/>
      <c r="AL114" s="46"/>
      <c r="AM114" s="46"/>
      <c r="AN114" s="46"/>
      <c r="AO114" s="46"/>
      <c r="AP114" s="46"/>
      <c r="AQ114" s="41"/>
    </row>
    <row r="115" spans="1:43" x14ac:dyDescent="0.3">
      <c r="A115" s="63"/>
      <c r="B115" s="232"/>
      <c r="C115" s="46"/>
      <c r="D115" s="46"/>
      <c r="E115" s="46"/>
      <c r="F115" s="46"/>
      <c r="G115" s="46"/>
      <c r="H115" s="46"/>
      <c r="I115" s="70">
        <f t="shared" ca="1" si="3"/>
        <v>125</v>
      </c>
      <c r="J115" s="46"/>
      <c r="K115" s="46"/>
      <c r="L115" s="46"/>
      <c r="M115" s="46"/>
      <c r="N115" s="46"/>
      <c r="O115" s="46"/>
      <c r="P115" s="46"/>
      <c r="Q115" s="46"/>
      <c r="R115" s="46"/>
      <c r="S115" s="46"/>
      <c r="T115" s="46"/>
      <c r="W115" s="46"/>
      <c r="X115" s="46"/>
      <c r="Y115" s="46"/>
      <c r="Z115" s="46"/>
      <c r="AB115" s="46"/>
      <c r="AC115" s="46"/>
      <c r="AD115" s="46"/>
      <c r="AE115" s="46"/>
      <c r="AF115" s="46"/>
      <c r="AG115" s="46"/>
      <c r="AH115" s="46"/>
      <c r="AI115" s="46"/>
      <c r="AJ115" s="46"/>
      <c r="AK115" s="46"/>
      <c r="AL115" s="46"/>
      <c r="AM115" s="46"/>
      <c r="AN115" s="46"/>
      <c r="AO115" s="46"/>
      <c r="AP115" s="46"/>
      <c r="AQ115" s="41"/>
    </row>
    <row r="116" spans="1:43" x14ac:dyDescent="0.3">
      <c r="A116" s="63"/>
      <c r="B116" s="232"/>
      <c r="C116" s="46"/>
      <c r="D116" s="46"/>
      <c r="E116" s="46"/>
      <c r="F116" s="46"/>
      <c r="G116" s="46"/>
      <c r="H116" s="46"/>
      <c r="I116" s="70">
        <f t="shared" ca="1" si="3"/>
        <v>125</v>
      </c>
      <c r="J116" s="46"/>
      <c r="K116" s="46"/>
      <c r="L116" s="46"/>
      <c r="M116" s="46"/>
      <c r="N116" s="46"/>
      <c r="O116" s="46"/>
      <c r="P116" s="46"/>
      <c r="Q116" s="46"/>
      <c r="R116" s="46"/>
      <c r="S116" s="46"/>
      <c r="T116" s="46"/>
      <c r="W116" s="46"/>
      <c r="X116" s="46"/>
      <c r="Y116" s="46"/>
      <c r="Z116" s="46"/>
      <c r="AB116" s="46"/>
      <c r="AC116" s="46"/>
      <c r="AD116" s="46"/>
      <c r="AE116" s="46"/>
      <c r="AF116" s="46"/>
      <c r="AG116" s="46"/>
      <c r="AH116" s="46"/>
      <c r="AI116" s="46"/>
      <c r="AJ116" s="46"/>
      <c r="AK116" s="46"/>
      <c r="AL116" s="46"/>
      <c r="AM116" s="46"/>
      <c r="AN116" s="46"/>
      <c r="AO116" s="46"/>
      <c r="AP116" s="46"/>
      <c r="AQ116" s="41"/>
    </row>
    <row r="117" spans="1:43" x14ac:dyDescent="0.3">
      <c r="A117" s="63"/>
      <c r="B117" s="232"/>
      <c r="C117" s="46"/>
      <c r="D117" s="46"/>
      <c r="E117" s="46"/>
      <c r="F117" s="46"/>
      <c r="G117" s="46"/>
      <c r="H117" s="46"/>
      <c r="I117" s="70">
        <f t="shared" ca="1" si="3"/>
        <v>125</v>
      </c>
      <c r="J117" s="46"/>
      <c r="K117" s="46"/>
      <c r="L117" s="46"/>
      <c r="M117" s="46"/>
      <c r="N117" s="46"/>
      <c r="O117" s="46"/>
      <c r="P117" s="46"/>
      <c r="Q117" s="46"/>
      <c r="R117" s="46"/>
      <c r="S117" s="46"/>
      <c r="T117" s="46"/>
      <c r="W117" s="46"/>
      <c r="X117" s="46"/>
      <c r="Y117" s="46"/>
      <c r="Z117" s="46"/>
      <c r="AB117" s="46"/>
      <c r="AC117" s="46"/>
      <c r="AD117" s="46"/>
      <c r="AE117" s="46"/>
      <c r="AF117" s="46"/>
      <c r="AG117" s="46"/>
      <c r="AH117" s="46"/>
      <c r="AI117" s="46"/>
      <c r="AJ117" s="46"/>
      <c r="AK117" s="46"/>
      <c r="AL117" s="46"/>
      <c r="AM117" s="46"/>
      <c r="AN117" s="46"/>
      <c r="AO117" s="46"/>
      <c r="AP117" s="46"/>
      <c r="AQ117" s="41"/>
    </row>
    <row r="118" spans="1:43" x14ac:dyDescent="0.3">
      <c r="A118" s="63"/>
      <c r="B118" s="232"/>
      <c r="C118" s="46"/>
      <c r="D118" s="46"/>
      <c r="E118" s="46"/>
      <c r="F118" s="46"/>
      <c r="G118" s="46"/>
      <c r="H118" s="46"/>
      <c r="I118" s="70">
        <f t="shared" ca="1" si="3"/>
        <v>125</v>
      </c>
      <c r="J118" s="46"/>
      <c r="K118" s="46"/>
      <c r="L118" s="46"/>
      <c r="M118" s="46"/>
      <c r="N118" s="46"/>
      <c r="O118" s="46"/>
      <c r="P118" s="46"/>
      <c r="Q118" s="46"/>
      <c r="R118" s="46"/>
      <c r="S118" s="46"/>
      <c r="T118" s="46"/>
      <c r="W118" s="46"/>
      <c r="X118" s="46"/>
      <c r="Y118" s="46"/>
      <c r="Z118" s="46"/>
      <c r="AB118" s="46"/>
      <c r="AC118" s="46"/>
      <c r="AD118" s="46"/>
      <c r="AE118" s="4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1"/>
    </row>
    <row r="119" spans="1:43" x14ac:dyDescent="0.3">
      <c r="A119" s="63"/>
      <c r="B119" s="232"/>
      <c r="C119" s="46"/>
      <c r="D119" s="46"/>
      <c r="E119" s="46"/>
      <c r="F119" s="46"/>
      <c r="G119" s="46"/>
      <c r="H119" s="46"/>
      <c r="I119" s="70">
        <f t="shared" ca="1" si="3"/>
        <v>125</v>
      </c>
      <c r="J119" s="46"/>
      <c r="K119" s="46"/>
      <c r="L119" s="46"/>
      <c r="M119" s="46"/>
      <c r="N119" s="46"/>
      <c r="O119" s="46"/>
      <c r="P119" s="46"/>
      <c r="Q119" s="46"/>
      <c r="R119" s="46"/>
      <c r="S119" s="46"/>
      <c r="T119" s="46"/>
      <c r="W119" s="46"/>
      <c r="X119" s="46"/>
      <c r="Y119" s="46"/>
      <c r="Z119" s="46"/>
      <c r="AB119" s="46"/>
      <c r="AC119" s="46"/>
      <c r="AD119" s="46"/>
      <c r="AE119" s="46"/>
      <c r="AF119" s="46"/>
      <c r="AG119" s="46"/>
      <c r="AH119" s="46"/>
      <c r="AI119" s="46"/>
      <c r="AJ119" s="46"/>
      <c r="AK119" s="46"/>
      <c r="AL119" s="46"/>
      <c r="AM119" s="46"/>
      <c r="AN119" s="46"/>
      <c r="AO119" s="46"/>
      <c r="AP119" s="46"/>
      <c r="AQ119" s="41"/>
    </row>
    <row r="120" spans="1:43" x14ac:dyDescent="0.3">
      <c r="A120" s="63"/>
      <c r="B120" s="232"/>
      <c r="C120" s="46"/>
      <c r="D120" s="46"/>
      <c r="E120" s="46"/>
      <c r="F120" s="46"/>
      <c r="G120" s="46"/>
      <c r="H120" s="46"/>
      <c r="I120" s="70">
        <f t="shared" ca="1" si="3"/>
        <v>125</v>
      </c>
      <c r="J120" s="46"/>
      <c r="K120" s="46"/>
      <c r="L120" s="46"/>
      <c r="M120" s="46"/>
      <c r="N120" s="46"/>
      <c r="O120" s="46"/>
      <c r="P120" s="46"/>
      <c r="Q120" s="46"/>
      <c r="R120" s="46"/>
      <c r="S120" s="46"/>
      <c r="T120" s="46"/>
      <c r="W120" s="46"/>
      <c r="X120" s="46"/>
      <c r="Y120" s="46"/>
      <c r="Z120" s="46"/>
      <c r="AB120" s="46"/>
      <c r="AC120" s="46"/>
      <c r="AD120" s="46"/>
      <c r="AE120" s="46"/>
      <c r="AF120" s="46"/>
      <c r="AG120" s="46"/>
      <c r="AH120" s="46"/>
      <c r="AI120" s="46"/>
      <c r="AJ120" s="46"/>
      <c r="AK120" s="46"/>
      <c r="AL120" s="46"/>
      <c r="AM120" s="46"/>
      <c r="AN120" s="46"/>
      <c r="AO120" s="46"/>
      <c r="AP120" s="46"/>
      <c r="AQ120" s="41"/>
    </row>
    <row r="121" spans="1:43" x14ac:dyDescent="0.3">
      <c r="A121" s="63"/>
      <c r="B121" s="232"/>
      <c r="C121" s="46"/>
      <c r="D121" s="46"/>
      <c r="E121" s="46"/>
      <c r="F121" s="46"/>
      <c r="G121" s="46"/>
      <c r="H121" s="46"/>
      <c r="I121" s="70">
        <f t="shared" ca="1" si="3"/>
        <v>125</v>
      </c>
      <c r="J121" s="46"/>
      <c r="K121" s="46"/>
      <c r="L121" s="46"/>
      <c r="M121" s="46"/>
      <c r="N121" s="46"/>
      <c r="O121" s="46"/>
      <c r="P121" s="46"/>
      <c r="Q121" s="46"/>
      <c r="R121" s="46"/>
      <c r="S121" s="46"/>
      <c r="T121" s="46"/>
      <c r="W121" s="46"/>
      <c r="X121" s="46"/>
      <c r="Y121" s="46"/>
      <c r="Z121" s="46"/>
      <c r="AB121" s="46"/>
      <c r="AC121" s="46"/>
      <c r="AD121" s="46"/>
      <c r="AE121" s="46"/>
      <c r="AF121" s="46"/>
      <c r="AG121" s="46"/>
      <c r="AH121" s="46"/>
      <c r="AI121" s="46"/>
      <c r="AJ121" s="46"/>
      <c r="AK121" s="46"/>
      <c r="AL121" s="46"/>
      <c r="AM121" s="46"/>
      <c r="AN121" s="46"/>
      <c r="AO121" s="46"/>
      <c r="AP121" s="46"/>
      <c r="AQ121" s="41"/>
    </row>
    <row r="122" spans="1:43" x14ac:dyDescent="0.3">
      <c r="A122" s="63"/>
      <c r="B122" s="232"/>
      <c r="C122" s="46"/>
      <c r="D122" s="46"/>
      <c r="E122" s="46"/>
      <c r="F122" s="46"/>
      <c r="G122" s="46"/>
      <c r="H122" s="46"/>
      <c r="I122" s="70">
        <f t="shared" ca="1" si="3"/>
        <v>125</v>
      </c>
      <c r="J122" s="46"/>
      <c r="K122" s="46"/>
      <c r="L122" s="46"/>
      <c r="M122" s="46"/>
      <c r="N122" s="46"/>
      <c r="O122" s="46"/>
      <c r="P122" s="46"/>
      <c r="Q122" s="46"/>
      <c r="R122" s="46"/>
      <c r="S122" s="46"/>
      <c r="T122" s="46"/>
      <c r="W122" s="46"/>
      <c r="X122" s="46"/>
      <c r="Y122" s="46"/>
      <c r="Z122" s="46"/>
      <c r="AB122" s="46"/>
      <c r="AC122" s="46"/>
      <c r="AD122" s="46"/>
      <c r="AE122" s="46"/>
      <c r="AF122" s="46"/>
      <c r="AG122" s="46"/>
      <c r="AH122" s="46"/>
      <c r="AI122" s="46"/>
      <c r="AJ122" s="46"/>
      <c r="AK122" s="46"/>
      <c r="AL122" s="46"/>
      <c r="AM122" s="46"/>
      <c r="AN122" s="46"/>
      <c r="AO122" s="46"/>
      <c r="AP122" s="46"/>
      <c r="AQ122" s="41"/>
    </row>
    <row r="123" spans="1:43" x14ac:dyDescent="0.3">
      <c r="A123" s="63"/>
      <c r="B123" s="232"/>
      <c r="C123" s="46"/>
      <c r="D123" s="46"/>
      <c r="E123" s="46"/>
      <c r="F123" s="46"/>
      <c r="G123" s="46"/>
      <c r="H123" s="46"/>
      <c r="I123" s="70">
        <f t="shared" ca="1" si="3"/>
        <v>125</v>
      </c>
      <c r="J123" s="46"/>
      <c r="K123" s="46"/>
      <c r="L123" s="46"/>
      <c r="M123" s="46"/>
      <c r="N123" s="46"/>
      <c r="O123" s="46"/>
      <c r="P123" s="46"/>
      <c r="Q123" s="46"/>
      <c r="R123" s="46"/>
      <c r="S123" s="46"/>
      <c r="T123" s="46"/>
      <c r="W123" s="46"/>
      <c r="X123" s="46"/>
      <c r="Y123" s="46"/>
      <c r="Z123" s="46"/>
      <c r="AB123" s="46"/>
      <c r="AC123" s="46"/>
      <c r="AD123" s="46"/>
      <c r="AE123" s="46"/>
      <c r="AF123" s="46"/>
      <c r="AG123" s="46"/>
      <c r="AH123" s="46"/>
      <c r="AI123" s="46"/>
      <c r="AJ123" s="46"/>
      <c r="AK123" s="46"/>
      <c r="AL123" s="46"/>
      <c r="AM123" s="46"/>
      <c r="AN123" s="46"/>
      <c r="AO123" s="46"/>
      <c r="AP123" s="46"/>
      <c r="AQ123" s="41"/>
    </row>
    <row r="124" spans="1:43" x14ac:dyDescent="0.3">
      <c r="A124" s="63"/>
      <c r="B124" s="232"/>
      <c r="C124" s="46"/>
      <c r="D124" s="46"/>
      <c r="E124" s="46"/>
      <c r="F124" s="46"/>
      <c r="G124" s="46"/>
      <c r="H124" s="46"/>
      <c r="I124" s="70">
        <f t="shared" ca="1" si="3"/>
        <v>125</v>
      </c>
      <c r="J124" s="46"/>
      <c r="K124" s="46"/>
      <c r="L124" s="46"/>
      <c r="M124" s="46"/>
      <c r="N124" s="46"/>
      <c r="O124" s="46"/>
      <c r="P124" s="46"/>
      <c r="Q124" s="46"/>
      <c r="R124" s="46"/>
      <c r="S124" s="46"/>
      <c r="T124" s="46"/>
      <c r="W124" s="46"/>
      <c r="X124" s="46"/>
      <c r="Y124" s="46"/>
      <c r="Z124" s="46"/>
      <c r="AB124" s="46"/>
      <c r="AC124" s="46"/>
      <c r="AD124" s="46"/>
      <c r="AE124" s="46"/>
      <c r="AF124" s="46"/>
      <c r="AG124" s="46"/>
      <c r="AH124" s="46"/>
      <c r="AI124" s="46"/>
      <c r="AJ124" s="46"/>
      <c r="AK124" s="46"/>
      <c r="AL124" s="46"/>
      <c r="AM124" s="46"/>
      <c r="AN124" s="46"/>
      <c r="AO124" s="46"/>
      <c r="AP124" s="46"/>
      <c r="AQ124" s="41"/>
    </row>
    <row r="125" spans="1:43" x14ac:dyDescent="0.3">
      <c r="A125" s="63"/>
      <c r="B125" s="232"/>
      <c r="C125" s="46"/>
      <c r="D125" s="46"/>
      <c r="E125" s="46"/>
      <c r="F125" s="46"/>
      <c r="G125" s="46"/>
      <c r="H125" s="46"/>
      <c r="I125" s="70">
        <f ca="1">INT((TODAY()-H125)/365.25)</f>
        <v>125</v>
      </c>
      <c r="J125" s="46"/>
      <c r="K125" s="46"/>
      <c r="L125" s="46"/>
      <c r="M125" s="46"/>
      <c r="N125" s="46"/>
      <c r="O125" s="46"/>
      <c r="P125" s="46"/>
      <c r="Q125" s="46"/>
      <c r="R125" s="46"/>
      <c r="S125" s="46"/>
      <c r="T125" s="46"/>
      <c r="W125" s="46"/>
      <c r="X125" s="46"/>
      <c r="Y125" s="46"/>
      <c r="Z125" s="46"/>
      <c r="AB125" s="46"/>
      <c r="AC125" s="46"/>
      <c r="AD125" s="46"/>
      <c r="AE125" s="46"/>
      <c r="AF125" s="46"/>
      <c r="AG125" s="46"/>
      <c r="AH125" s="46"/>
      <c r="AI125" s="46"/>
      <c r="AJ125" s="46"/>
      <c r="AK125" s="46"/>
      <c r="AL125" s="46"/>
      <c r="AM125" s="46"/>
      <c r="AN125" s="46"/>
      <c r="AO125" s="46"/>
      <c r="AP125" s="46"/>
      <c r="AQ125" s="41"/>
    </row>
    <row r="126" spans="1:43" x14ac:dyDescent="0.3">
      <c r="A126" s="63"/>
      <c r="B126" s="232"/>
      <c r="C126" s="46"/>
      <c r="D126" s="46"/>
      <c r="E126" s="46"/>
      <c r="F126" s="46"/>
      <c r="G126" s="46"/>
      <c r="H126" s="46"/>
      <c r="I126" s="70">
        <f t="shared" ref="I126:I144" ca="1" si="4">INT((TODAY()-H126)/365.25)</f>
        <v>125</v>
      </c>
      <c r="J126" s="46"/>
      <c r="K126" s="46"/>
      <c r="L126" s="46"/>
      <c r="M126" s="46"/>
      <c r="N126" s="46"/>
      <c r="O126" s="46"/>
      <c r="P126" s="46"/>
      <c r="Q126" s="46"/>
      <c r="R126" s="46"/>
      <c r="S126" s="46"/>
      <c r="T126" s="46"/>
      <c r="W126" s="46"/>
      <c r="X126" s="46"/>
      <c r="Y126" s="46"/>
      <c r="Z126" s="46"/>
      <c r="AB126" s="46"/>
      <c r="AC126" s="46"/>
      <c r="AD126" s="46"/>
      <c r="AE126" s="46"/>
      <c r="AF126" s="46"/>
      <c r="AG126" s="46"/>
      <c r="AH126" s="46"/>
      <c r="AI126" s="46"/>
      <c r="AJ126" s="46"/>
      <c r="AK126" s="46"/>
      <c r="AL126" s="46"/>
      <c r="AM126" s="46"/>
      <c r="AN126" s="46"/>
      <c r="AO126" s="46"/>
      <c r="AP126" s="46"/>
      <c r="AQ126" s="41"/>
    </row>
    <row r="127" spans="1:43" x14ac:dyDescent="0.3">
      <c r="A127" s="63"/>
      <c r="B127" s="232"/>
      <c r="C127" s="46"/>
      <c r="D127" s="46"/>
      <c r="E127" s="46"/>
      <c r="F127" s="46"/>
      <c r="G127" s="46"/>
      <c r="H127" s="46"/>
      <c r="I127" s="70">
        <f t="shared" ca="1" si="4"/>
        <v>125</v>
      </c>
      <c r="J127" s="46"/>
      <c r="K127" s="46"/>
      <c r="L127" s="46"/>
      <c r="M127" s="46"/>
      <c r="N127" s="46"/>
      <c r="O127" s="46"/>
      <c r="P127" s="46"/>
      <c r="Q127" s="46"/>
      <c r="R127" s="46"/>
      <c r="S127" s="46"/>
      <c r="T127" s="46"/>
      <c r="W127" s="46"/>
      <c r="X127" s="46"/>
      <c r="Y127" s="46"/>
      <c r="Z127" s="46"/>
      <c r="AB127" s="46"/>
      <c r="AC127" s="46"/>
      <c r="AD127" s="46"/>
      <c r="AE127" s="46"/>
      <c r="AF127" s="46"/>
      <c r="AG127" s="46"/>
      <c r="AH127" s="46"/>
      <c r="AI127" s="46"/>
      <c r="AJ127" s="46"/>
      <c r="AK127" s="46"/>
      <c r="AL127" s="46"/>
      <c r="AM127" s="46"/>
      <c r="AN127" s="46"/>
      <c r="AO127" s="46"/>
      <c r="AP127" s="46"/>
      <c r="AQ127" s="41"/>
    </row>
    <row r="128" spans="1:43" x14ac:dyDescent="0.3">
      <c r="A128" s="41"/>
      <c r="B128" s="232"/>
      <c r="C128" s="46"/>
      <c r="D128" s="46"/>
      <c r="E128" s="46"/>
      <c r="F128" s="46"/>
      <c r="G128" s="46"/>
      <c r="H128" s="46"/>
      <c r="I128" s="70">
        <f t="shared" ca="1" si="4"/>
        <v>125</v>
      </c>
      <c r="J128" s="46"/>
      <c r="K128" s="46"/>
      <c r="L128" s="46"/>
      <c r="M128" s="46"/>
      <c r="N128" s="46"/>
      <c r="O128" s="46"/>
      <c r="P128" s="46"/>
      <c r="Q128" s="46"/>
      <c r="R128" s="46"/>
      <c r="S128" s="46"/>
      <c r="T128" s="46"/>
      <c r="W128" s="46"/>
      <c r="X128" s="46"/>
      <c r="Y128" s="46"/>
      <c r="Z128" s="46"/>
      <c r="AB128" s="46"/>
      <c r="AC128" s="46"/>
      <c r="AD128" s="46"/>
      <c r="AE128" s="46"/>
      <c r="AF128" s="46"/>
      <c r="AG128" s="46"/>
      <c r="AH128" s="46"/>
      <c r="AI128" s="46"/>
      <c r="AJ128" s="46"/>
      <c r="AK128" s="46"/>
      <c r="AL128" s="46"/>
      <c r="AM128" s="46"/>
      <c r="AN128" s="46"/>
      <c r="AO128" s="46"/>
      <c r="AP128" s="46"/>
      <c r="AQ128" s="41"/>
    </row>
    <row r="129" spans="1:43" x14ac:dyDescent="0.3">
      <c r="A129" s="41"/>
      <c r="B129" s="232"/>
      <c r="C129" s="46"/>
      <c r="D129" s="46"/>
      <c r="E129" s="46"/>
      <c r="F129" s="46"/>
      <c r="G129" s="46"/>
      <c r="H129" s="46"/>
      <c r="I129" s="70">
        <f t="shared" ca="1" si="4"/>
        <v>125</v>
      </c>
      <c r="J129" s="46"/>
      <c r="K129" s="46"/>
      <c r="L129" s="46"/>
      <c r="M129" s="46"/>
      <c r="N129" s="46"/>
      <c r="O129" s="46"/>
      <c r="P129" s="46"/>
      <c r="Q129" s="46"/>
      <c r="R129" s="46"/>
      <c r="S129" s="46"/>
      <c r="T129" s="46"/>
      <c r="W129" s="46"/>
      <c r="X129" s="46"/>
      <c r="Y129" s="46"/>
      <c r="Z129" s="46"/>
      <c r="AB129" s="46"/>
      <c r="AC129" s="46"/>
      <c r="AD129" s="46"/>
      <c r="AE129" s="46"/>
      <c r="AF129" s="46"/>
      <c r="AG129" s="46"/>
      <c r="AH129" s="46"/>
      <c r="AI129" s="46"/>
      <c r="AJ129" s="46"/>
      <c r="AK129" s="46"/>
      <c r="AL129" s="46"/>
      <c r="AM129" s="46"/>
      <c r="AN129" s="46"/>
      <c r="AO129" s="46"/>
      <c r="AP129" s="46"/>
      <c r="AQ129" s="41"/>
    </row>
    <row r="130" spans="1:43" x14ac:dyDescent="0.3">
      <c r="A130" s="41"/>
      <c r="B130" s="232"/>
      <c r="C130" s="46"/>
      <c r="D130" s="46"/>
      <c r="E130" s="46"/>
      <c r="F130" s="46"/>
      <c r="G130" s="46"/>
      <c r="H130" s="46"/>
      <c r="I130" s="70">
        <f t="shared" ca="1" si="4"/>
        <v>125</v>
      </c>
      <c r="J130" s="46"/>
      <c r="K130" s="46"/>
      <c r="L130" s="46"/>
      <c r="M130" s="46"/>
      <c r="N130" s="46"/>
      <c r="O130" s="46"/>
      <c r="P130" s="46"/>
      <c r="Q130" s="46"/>
      <c r="R130" s="46"/>
      <c r="S130" s="46"/>
      <c r="T130" s="46"/>
      <c r="W130" s="46"/>
      <c r="X130" s="46"/>
      <c r="Y130" s="46"/>
      <c r="Z130" s="46"/>
      <c r="AB130" s="46"/>
      <c r="AC130" s="46"/>
      <c r="AD130" s="46"/>
      <c r="AE130" s="46"/>
      <c r="AF130" s="46"/>
      <c r="AG130" s="46"/>
      <c r="AH130" s="46"/>
      <c r="AI130" s="46"/>
      <c r="AJ130" s="46"/>
      <c r="AK130" s="46"/>
      <c r="AL130" s="46"/>
      <c r="AM130" s="46"/>
      <c r="AN130" s="46"/>
      <c r="AO130" s="46"/>
      <c r="AP130" s="46"/>
      <c r="AQ130" s="41"/>
    </row>
    <row r="131" spans="1:43" x14ac:dyDescent="0.3">
      <c r="A131" s="41"/>
      <c r="B131" s="232"/>
      <c r="C131" s="46"/>
      <c r="D131" s="46"/>
      <c r="E131" s="46"/>
      <c r="F131" s="46"/>
      <c r="G131" s="46"/>
      <c r="H131" s="46"/>
      <c r="I131" s="70">
        <f t="shared" ca="1" si="4"/>
        <v>125</v>
      </c>
      <c r="J131" s="46"/>
      <c r="K131" s="46"/>
      <c r="L131" s="46"/>
      <c r="M131" s="46"/>
      <c r="N131" s="46"/>
      <c r="O131" s="46"/>
      <c r="P131" s="46"/>
      <c r="Q131" s="46"/>
      <c r="R131" s="46"/>
      <c r="S131" s="46"/>
      <c r="T131" s="46"/>
      <c r="W131" s="46"/>
      <c r="X131" s="46"/>
      <c r="Y131" s="46"/>
      <c r="Z131" s="46"/>
      <c r="AB131" s="46"/>
      <c r="AC131" s="46"/>
      <c r="AD131" s="46"/>
      <c r="AE131" s="46"/>
      <c r="AF131" s="46"/>
      <c r="AG131" s="46"/>
      <c r="AH131" s="46"/>
      <c r="AI131" s="46"/>
      <c r="AJ131" s="46"/>
      <c r="AK131" s="46"/>
      <c r="AL131" s="46"/>
      <c r="AM131" s="46"/>
      <c r="AN131" s="46"/>
      <c r="AO131" s="46"/>
      <c r="AP131" s="46"/>
      <c r="AQ131" s="41"/>
    </row>
    <row r="132" spans="1:43" x14ac:dyDescent="0.3">
      <c r="A132" s="41"/>
      <c r="B132" s="232"/>
      <c r="C132" s="46"/>
      <c r="D132" s="46"/>
      <c r="E132" s="46"/>
      <c r="F132" s="46"/>
      <c r="G132" s="46"/>
      <c r="H132" s="46"/>
      <c r="I132" s="70">
        <f t="shared" ca="1" si="4"/>
        <v>125</v>
      </c>
      <c r="J132" s="46"/>
      <c r="K132" s="46"/>
      <c r="L132" s="46"/>
      <c r="M132" s="46"/>
      <c r="N132" s="46"/>
      <c r="O132" s="46"/>
      <c r="P132" s="46"/>
      <c r="Q132" s="46"/>
      <c r="R132" s="46"/>
      <c r="S132" s="46"/>
      <c r="T132" s="46"/>
      <c r="W132" s="46"/>
      <c r="X132" s="46"/>
      <c r="Y132" s="46"/>
      <c r="Z132" s="46"/>
      <c r="AB132" s="46"/>
      <c r="AC132" s="46"/>
      <c r="AD132" s="46"/>
      <c r="AE132" s="46"/>
      <c r="AF132" s="46"/>
      <c r="AG132" s="46"/>
      <c r="AH132" s="46"/>
      <c r="AI132" s="46"/>
      <c r="AJ132" s="46"/>
      <c r="AK132" s="46"/>
      <c r="AL132" s="46"/>
      <c r="AM132" s="46"/>
      <c r="AN132" s="46"/>
      <c r="AO132" s="46"/>
      <c r="AP132" s="46"/>
      <c r="AQ132" s="41"/>
    </row>
    <row r="133" spans="1:43" x14ac:dyDescent="0.3">
      <c r="A133" s="41"/>
      <c r="B133" s="232"/>
      <c r="C133" s="46"/>
      <c r="D133" s="46"/>
      <c r="E133" s="46"/>
      <c r="F133" s="46"/>
      <c r="G133" s="46"/>
      <c r="H133" s="46"/>
      <c r="I133" s="70">
        <f t="shared" ca="1" si="4"/>
        <v>125</v>
      </c>
      <c r="J133" s="46"/>
      <c r="K133" s="46"/>
      <c r="L133" s="46"/>
      <c r="M133" s="46"/>
      <c r="N133" s="46"/>
      <c r="O133" s="46"/>
      <c r="P133" s="46"/>
      <c r="Q133" s="46"/>
      <c r="R133" s="46"/>
      <c r="S133" s="46"/>
      <c r="T133" s="46"/>
      <c r="W133" s="46"/>
      <c r="X133" s="46"/>
      <c r="Y133" s="46"/>
      <c r="Z133" s="46"/>
      <c r="AB133" s="46"/>
      <c r="AC133" s="46"/>
      <c r="AD133" s="46"/>
      <c r="AE133" s="46"/>
      <c r="AF133" s="46"/>
      <c r="AG133" s="46"/>
      <c r="AH133" s="46"/>
      <c r="AI133" s="46"/>
      <c r="AJ133" s="46"/>
      <c r="AK133" s="46"/>
      <c r="AL133" s="46"/>
      <c r="AM133" s="46"/>
      <c r="AN133" s="46"/>
      <c r="AO133" s="46"/>
      <c r="AP133" s="46"/>
      <c r="AQ133" s="41"/>
    </row>
    <row r="134" spans="1:43" x14ac:dyDescent="0.3">
      <c r="A134" s="41"/>
      <c r="B134" s="232"/>
      <c r="C134" s="46"/>
      <c r="D134" s="46"/>
      <c r="E134" s="46"/>
      <c r="F134" s="46"/>
      <c r="G134" s="46"/>
      <c r="H134" s="46"/>
      <c r="I134" s="70">
        <f t="shared" ca="1" si="4"/>
        <v>125</v>
      </c>
      <c r="J134" s="46"/>
      <c r="K134" s="46"/>
      <c r="L134" s="46"/>
      <c r="M134" s="46"/>
      <c r="N134" s="46"/>
      <c r="O134" s="46"/>
      <c r="P134" s="46"/>
      <c r="Q134" s="46"/>
      <c r="R134" s="46"/>
      <c r="S134" s="46"/>
      <c r="T134" s="46"/>
      <c r="W134" s="46"/>
      <c r="X134" s="46"/>
      <c r="Y134" s="46"/>
      <c r="Z134" s="46"/>
      <c r="AB134" s="46"/>
      <c r="AC134" s="46"/>
      <c r="AD134" s="46"/>
      <c r="AE134" s="46"/>
      <c r="AF134" s="46"/>
      <c r="AG134" s="46"/>
      <c r="AH134" s="46"/>
      <c r="AI134" s="46"/>
      <c r="AJ134" s="46"/>
      <c r="AK134" s="46"/>
      <c r="AL134" s="46"/>
      <c r="AM134" s="46"/>
      <c r="AN134" s="46"/>
      <c r="AO134" s="46"/>
      <c r="AP134" s="46"/>
      <c r="AQ134" s="41"/>
    </row>
    <row r="135" spans="1:43" x14ac:dyDescent="0.3">
      <c r="A135" s="41"/>
      <c r="B135" s="232"/>
      <c r="C135" s="46"/>
      <c r="D135" s="46"/>
      <c r="E135" s="46"/>
      <c r="F135" s="46"/>
      <c r="G135" s="46"/>
      <c r="H135" s="46"/>
      <c r="I135" s="70">
        <f t="shared" ca="1" si="4"/>
        <v>125</v>
      </c>
      <c r="J135" s="46"/>
      <c r="K135" s="46"/>
      <c r="L135" s="46"/>
      <c r="M135" s="46"/>
      <c r="N135" s="46"/>
      <c r="O135" s="46"/>
      <c r="P135" s="46"/>
      <c r="Q135" s="46"/>
      <c r="R135" s="46"/>
      <c r="S135" s="46"/>
      <c r="T135" s="46"/>
      <c r="W135" s="46"/>
      <c r="X135" s="46"/>
      <c r="Y135" s="46"/>
      <c r="Z135" s="46"/>
      <c r="AB135" s="46"/>
      <c r="AC135" s="46"/>
      <c r="AD135" s="46"/>
      <c r="AE135" s="46"/>
      <c r="AF135" s="46"/>
      <c r="AG135" s="46"/>
      <c r="AH135" s="46"/>
      <c r="AI135" s="46"/>
      <c r="AJ135" s="46"/>
      <c r="AK135" s="46"/>
      <c r="AL135" s="46"/>
      <c r="AM135" s="46"/>
      <c r="AN135" s="46"/>
      <c r="AO135" s="46"/>
      <c r="AP135" s="46"/>
      <c r="AQ135" s="41"/>
    </row>
    <row r="136" spans="1:43" x14ac:dyDescent="0.3">
      <c r="A136" s="41"/>
      <c r="B136" s="232"/>
      <c r="C136" s="46"/>
      <c r="D136" s="46"/>
      <c r="E136" s="46"/>
      <c r="F136" s="46"/>
      <c r="G136" s="46"/>
      <c r="H136" s="46"/>
      <c r="I136" s="70">
        <f t="shared" ca="1" si="4"/>
        <v>125</v>
      </c>
      <c r="J136" s="46"/>
      <c r="K136" s="46"/>
      <c r="L136" s="46"/>
      <c r="M136" s="46"/>
      <c r="N136" s="46"/>
      <c r="O136" s="46"/>
      <c r="P136" s="46"/>
      <c r="Q136" s="46"/>
      <c r="R136" s="46"/>
      <c r="S136" s="46"/>
      <c r="T136" s="46"/>
      <c r="W136" s="46"/>
      <c r="X136" s="46"/>
      <c r="Y136" s="46"/>
      <c r="Z136" s="46"/>
      <c r="AB136" s="46"/>
      <c r="AC136" s="46"/>
      <c r="AD136" s="46"/>
      <c r="AE136" s="46"/>
      <c r="AF136" s="46"/>
      <c r="AG136" s="46"/>
      <c r="AH136" s="46"/>
      <c r="AI136" s="46"/>
      <c r="AJ136" s="46"/>
      <c r="AK136" s="46"/>
      <c r="AL136" s="46"/>
      <c r="AM136" s="46"/>
      <c r="AN136" s="46"/>
      <c r="AO136" s="46"/>
      <c r="AP136" s="46"/>
      <c r="AQ136" s="41"/>
    </row>
    <row r="137" spans="1:43" x14ac:dyDescent="0.3">
      <c r="A137" s="41"/>
      <c r="B137" s="232"/>
      <c r="C137" s="46"/>
      <c r="D137" s="46"/>
      <c r="E137" s="46"/>
      <c r="F137" s="46"/>
      <c r="G137" s="46"/>
      <c r="H137" s="46"/>
      <c r="I137" s="70">
        <f t="shared" ca="1" si="4"/>
        <v>125</v>
      </c>
      <c r="J137" s="46"/>
      <c r="K137" s="46"/>
      <c r="L137" s="46"/>
      <c r="M137" s="46"/>
      <c r="N137" s="46"/>
      <c r="O137" s="46"/>
      <c r="P137" s="46"/>
      <c r="Q137" s="46"/>
      <c r="R137" s="46"/>
      <c r="S137" s="46"/>
      <c r="T137" s="46"/>
      <c r="W137" s="46"/>
      <c r="X137" s="46"/>
      <c r="Y137" s="46"/>
      <c r="Z137" s="46"/>
      <c r="AB137" s="46"/>
      <c r="AC137" s="46"/>
      <c r="AD137" s="46"/>
      <c r="AE137" s="46"/>
      <c r="AF137" s="46"/>
      <c r="AG137" s="46"/>
      <c r="AH137" s="46"/>
      <c r="AI137" s="46"/>
      <c r="AJ137" s="46"/>
      <c r="AK137" s="46"/>
      <c r="AL137" s="46"/>
      <c r="AM137" s="46"/>
      <c r="AN137" s="46"/>
      <c r="AO137" s="46"/>
      <c r="AP137" s="46"/>
      <c r="AQ137" s="41"/>
    </row>
    <row r="138" spans="1:43" x14ac:dyDescent="0.3">
      <c r="A138" s="41"/>
      <c r="B138" s="232"/>
      <c r="C138" s="46"/>
      <c r="D138" s="46"/>
      <c r="E138" s="46"/>
      <c r="F138" s="46"/>
      <c r="G138" s="46"/>
      <c r="H138" s="46"/>
      <c r="I138" s="70">
        <f t="shared" ca="1" si="4"/>
        <v>125</v>
      </c>
      <c r="J138" s="46"/>
      <c r="K138" s="46"/>
      <c r="L138" s="46"/>
      <c r="M138" s="46"/>
      <c r="N138" s="46"/>
      <c r="O138" s="46"/>
      <c r="P138" s="46"/>
      <c r="Q138" s="46"/>
      <c r="R138" s="46"/>
      <c r="S138" s="46"/>
      <c r="T138" s="46"/>
      <c r="W138" s="46"/>
      <c r="X138" s="46"/>
      <c r="Y138" s="46"/>
      <c r="Z138" s="46"/>
      <c r="AB138" s="46"/>
      <c r="AC138" s="46"/>
      <c r="AD138" s="46"/>
      <c r="AE138" s="46"/>
      <c r="AF138" s="46"/>
      <c r="AG138" s="46"/>
      <c r="AH138" s="46"/>
      <c r="AI138" s="46"/>
      <c r="AJ138" s="46"/>
      <c r="AK138" s="46"/>
      <c r="AL138" s="46"/>
      <c r="AM138" s="46"/>
      <c r="AN138" s="46"/>
      <c r="AO138" s="46"/>
      <c r="AP138" s="46"/>
      <c r="AQ138" s="41"/>
    </row>
    <row r="139" spans="1:43" x14ac:dyDescent="0.3">
      <c r="A139" s="41"/>
      <c r="B139" s="232"/>
      <c r="C139" s="46"/>
      <c r="D139" s="46"/>
      <c r="E139" s="46"/>
      <c r="F139" s="46"/>
      <c r="G139" s="46"/>
      <c r="H139" s="46"/>
      <c r="I139" s="70">
        <f t="shared" ca="1" si="4"/>
        <v>125</v>
      </c>
      <c r="J139" s="46"/>
      <c r="K139" s="46"/>
      <c r="L139" s="46"/>
      <c r="M139" s="46"/>
      <c r="N139" s="46"/>
      <c r="O139" s="46"/>
      <c r="P139" s="46"/>
      <c r="Q139" s="46"/>
      <c r="R139" s="46"/>
      <c r="S139" s="46"/>
      <c r="T139" s="46"/>
      <c r="W139" s="46"/>
      <c r="X139" s="46"/>
      <c r="Y139" s="46"/>
      <c r="Z139" s="46"/>
      <c r="AB139" s="46"/>
      <c r="AC139" s="46"/>
      <c r="AD139" s="46"/>
      <c r="AE139" s="46"/>
      <c r="AF139" s="46"/>
      <c r="AG139" s="46"/>
      <c r="AH139" s="46"/>
      <c r="AI139" s="46"/>
      <c r="AJ139" s="46"/>
      <c r="AK139" s="46"/>
      <c r="AL139" s="46"/>
      <c r="AM139" s="46"/>
      <c r="AN139" s="46"/>
      <c r="AO139" s="46"/>
      <c r="AP139" s="46"/>
      <c r="AQ139" s="41"/>
    </row>
    <row r="140" spans="1:43" x14ac:dyDescent="0.3">
      <c r="A140" s="41"/>
      <c r="B140" s="232"/>
      <c r="C140" s="46"/>
      <c r="D140" s="46"/>
      <c r="E140" s="46"/>
      <c r="F140" s="46"/>
      <c r="G140" s="46"/>
      <c r="H140" s="46"/>
      <c r="I140" s="70">
        <f t="shared" ca="1" si="4"/>
        <v>125</v>
      </c>
      <c r="J140" s="46"/>
      <c r="K140" s="46"/>
      <c r="L140" s="46"/>
      <c r="M140" s="46"/>
      <c r="N140" s="46"/>
      <c r="O140" s="46"/>
      <c r="P140" s="46"/>
      <c r="Q140" s="46"/>
      <c r="R140" s="46"/>
      <c r="S140" s="46"/>
      <c r="T140" s="46"/>
      <c r="W140" s="46"/>
      <c r="X140" s="46"/>
      <c r="Y140" s="46"/>
      <c r="Z140" s="46"/>
      <c r="AB140" s="46"/>
      <c r="AC140" s="46"/>
      <c r="AD140" s="46"/>
      <c r="AE140" s="46"/>
      <c r="AF140" s="46"/>
      <c r="AG140" s="46"/>
      <c r="AH140" s="46"/>
      <c r="AI140" s="46"/>
      <c r="AJ140" s="46"/>
      <c r="AK140" s="46"/>
      <c r="AL140" s="46"/>
      <c r="AM140" s="46"/>
      <c r="AN140" s="46"/>
      <c r="AO140" s="46"/>
      <c r="AP140" s="46"/>
      <c r="AQ140" s="41"/>
    </row>
    <row r="141" spans="1:43" x14ac:dyDescent="0.3">
      <c r="A141" s="41"/>
      <c r="B141" s="232"/>
      <c r="C141" s="46"/>
      <c r="D141" s="46"/>
      <c r="E141" s="46"/>
      <c r="F141" s="46"/>
      <c r="G141" s="46"/>
      <c r="H141" s="46"/>
      <c r="I141" s="70">
        <f t="shared" ca="1" si="4"/>
        <v>125</v>
      </c>
      <c r="J141" s="46"/>
      <c r="K141" s="46"/>
      <c r="L141" s="46"/>
      <c r="M141" s="46"/>
      <c r="N141" s="46"/>
      <c r="O141" s="46"/>
      <c r="P141" s="46"/>
      <c r="Q141" s="46"/>
      <c r="R141" s="46"/>
      <c r="S141" s="46"/>
      <c r="T141" s="46"/>
      <c r="W141" s="46"/>
      <c r="X141" s="46"/>
      <c r="Y141" s="46"/>
      <c r="Z141" s="46"/>
      <c r="AB141" s="46"/>
      <c r="AC141" s="46"/>
      <c r="AD141" s="46"/>
      <c r="AE141" s="46"/>
      <c r="AF141" s="46"/>
      <c r="AG141" s="46"/>
      <c r="AH141" s="46"/>
      <c r="AI141" s="46"/>
      <c r="AJ141" s="46"/>
      <c r="AK141" s="46"/>
      <c r="AL141" s="46"/>
      <c r="AM141" s="46"/>
      <c r="AN141" s="46"/>
      <c r="AO141" s="46"/>
      <c r="AP141" s="46"/>
      <c r="AQ141" s="41"/>
    </row>
    <row r="142" spans="1:43" x14ac:dyDescent="0.3">
      <c r="A142" s="41"/>
      <c r="B142" s="232"/>
      <c r="C142" s="46"/>
      <c r="D142" s="46"/>
      <c r="E142" s="46"/>
      <c r="F142" s="46"/>
      <c r="G142" s="46"/>
      <c r="H142" s="46"/>
      <c r="I142" s="70">
        <f t="shared" ca="1" si="4"/>
        <v>125</v>
      </c>
      <c r="J142" s="46"/>
      <c r="K142" s="46"/>
      <c r="L142" s="46"/>
      <c r="M142" s="46"/>
      <c r="N142" s="46"/>
      <c r="O142" s="46"/>
      <c r="P142" s="46"/>
      <c r="Q142" s="46"/>
      <c r="R142" s="46"/>
      <c r="S142" s="46"/>
      <c r="T142" s="46"/>
      <c r="W142" s="46"/>
      <c r="X142" s="46"/>
      <c r="Y142" s="46"/>
      <c r="Z142" s="46"/>
      <c r="AB142" s="46"/>
      <c r="AC142" s="46"/>
      <c r="AD142" s="46"/>
      <c r="AE142" s="46"/>
      <c r="AF142" s="46"/>
      <c r="AG142" s="46"/>
      <c r="AH142" s="46"/>
      <c r="AI142" s="46"/>
      <c r="AJ142" s="46"/>
      <c r="AK142" s="46"/>
      <c r="AL142" s="46"/>
      <c r="AM142" s="46"/>
      <c r="AN142" s="46"/>
      <c r="AO142" s="46"/>
      <c r="AP142" s="46"/>
      <c r="AQ142" s="41"/>
    </row>
    <row r="143" spans="1:43" x14ac:dyDescent="0.3">
      <c r="A143" s="41"/>
      <c r="B143" s="232"/>
      <c r="C143" s="46"/>
      <c r="D143" s="46"/>
      <c r="E143" s="46"/>
      <c r="F143" s="46"/>
      <c r="G143" s="46"/>
      <c r="H143" s="46"/>
      <c r="I143" s="70">
        <f t="shared" ca="1" si="4"/>
        <v>125</v>
      </c>
      <c r="J143" s="46"/>
      <c r="K143" s="46"/>
      <c r="L143" s="46"/>
      <c r="M143" s="46"/>
      <c r="N143" s="46"/>
      <c r="O143" s="46"/>
      <c r="P143" s="46"/>
      <c r="Q143" s="46"/>
      <c r="R143" s="46"/>
      <c r="S143" s="46"/>
      <c r="T143" s="46"/>
      <c r="W143" s="46"/>
      <c r="X143" s="46"/>
      <c r="Y143" s="46"/>
      <c r="Z143" s="46"/>
      <c r="AB143" s="46"/>
      <c r="AC143" s="46"/>
      <c r="AD143" s="46"/>
      <c r="AE143" s="46"/>
      <c r="AF143" s="46"/>
      <c r="AG143" s="46"/>
      <c r="AH143" s="46"/>
      <c r="AI143" s="46"/>
      <c r="AJ143" s="46"/>
      <c r="AK143" s="46"/>
      <c r="AL143" s="46"/>
      <c r="AM143" s="46"/>
      <c r="AN143" s="46"/>
      <c r="AO143" s="46"/>
      <c r="AP143" s="46"/>
      <c r="AQ143" s="41"/>
    </row>
    <row r="144" spans="1:43" x14ac:dyDescent="0.3">
      <c r="A144" s="41"/>
      <c r="B144" s="232"/>
      <c r="C144" s="46"/>
      <c r="D144" s="46"/>
      <c r="E144" s="46"/>
      <c r="F144" s="46"/>
      <c r="G144" s="46"/>
      <c r="H144" s="46"/>
      <c r="I144" s="70">
        <f t="shared" ca="1" si="4"/>
        <v>125</v>
      </c>
      <c r="J144" s="46"/>
      <c r="K144" s="46"/>
      <c r="L144" s="46"/>
      <c r="M144" s="46"/>
      <c r="N144" s="46"/>
      <c r="O144" s="46"/>
      <c r="P144" s="46"/>
      <c r="Q144" s="46"/>
      <c r="R144" s="46"/>
      <c r="S144" s="46"/>
      <c r="T144" s="46"/>
      <c r="W144" s="46"/>
      <c r="X144" s="46"/>
      <c r="Y144" s="46"/>
      <c r="Z144" s="46"/>
      <c r="AB144" s="46"/>
      <c r="AC144" s="46"/>
      <c r="AD144" s="46"/>
      <c r="AE144" s="46"/>
      <c r="AF144" s="46"/>
      <c r="AG144" s="46"/>
      <c r="AH144" s="46"/>
      <c r="AI144" s="46"/>
      <c r="AJ144" s="46"/>
      <c r="AK144" s="46"/>
      <c r="AL144" s="46"/>
      <c r="AM144" s="46"/>
      <c r="AN144" s="46"/>
      <c r="AO144" s="46"/>
      <c r="AP144" s="46"/>
      <c r="AQ144" s="41"/>
    </row>
    <row r="145" spans="1:43" x14ac:dyDescent="0.3">
      <c r="A145" s="41"/>
      <c r="B145" s="232"/>
      <c r="C145" s="46"/>
      <c r="D145" s="46"/>
      <c r="E145" s="46"/>
      <c r="F145" s="46"/>
      <c r="G145" s="46"/>
      <c r="H145" s="46"/>
      <c r="I145" s="70">
        <f ca="1">INT((TODAY()-H145)/365.25)</f>
        <v>125</v>
      </c>
      <c r="J145" s="46"/>
      <c r="K145" s="46"/>
      <c r="L145" s="46"/>
      <c r="M145" s="46"/>
      <c r="N145" s="46"/>
      <c r="O145" s="46"/>
      <c r="P145" s="46"/>
      <c r="Q145" s="46"/>
      <c r="R145" s="46"/>
      <c r="S145" s="46"/>
      <c r="T145" s="46"/>
      <c r="W145" s="46"/>
      <c r="X145" s="46"/>
      <c r="Y145" s="46"/>
      <c r="Z145" s="46"/>
      <c r="AB145" s="46"/>
      <c r="AC145" s="46"/>
      <c r="AD145" s="46"/>
      <c r="AE145" s="46"/>
      <c r="AF145" s="46"/>
      <c r="AG145" s="46"/>
      <c r="AH145" s="46"/>
      <c r="AI145" s="46"/>
      <c r="AJ145" s="46"/>
      <c r="AK145" s="46"/>
      <c r="AL145" s="46"/>
      <c r="AM145" s="46"/>
      <c r="AN145" s="46"/>
      <c r="AO145" s="46"/>
      <c r="AP145" s="46"/>
      <c r="AQ145" s="41"/>
    </row>
    <row r="146" spans="1:43" x14ac:dyDescent="0.3">
      <c r="A146" s="41"/>
      <c r="B146" s="232"/>
      <c r="C146" s="46"/>
      <c r="D146" s="46"/>
      <c r="E146" s="46"/>
      <c r="F146" s="46"/>
      <c r="G146" s="46"/>
      <c r="H146" s="46"/>
      <c r="I146" s="70">
        <f t="shared" ref="I146:I209" ca="1" si="5">INT((TODAY()-H146)/365.25)</f>
        <v>125</v>
      </c>
      <c r="J146" s="46"/>
      <c r="K146" s="46"/>
      <c r="L146" s="46"/>
      <c r="M146" s="46"/>
      <c r="N146" s="46"/>
      <c r="O146" s="46"/>
      <c r="P146" s="46"/>
      <c r="Q146" s="46"/>
      <c r="R146" s="46"/>
      <c r="S146" s="46"/>
      <c r="T146" s="46"/>
      <c r="W146" s="46"/>
      <c r="X146" s="46"/>
      <c r="Y146" s="46"/>
      <c r="Z146" s="46"/>
      <c r="AB146" s="46"/>
      <c r="AC146" s="46"/>
      <c r="AD146" s="46"/>
      <c r="AE146" s="46"/>
      <c r="AF146" s="46"/>
      <c r="AG146" s="46"/>
      <c r="AH146" s="46"/>
      <c r="AI146" s="46"/>
      <c r="AJ146" s="46"/>
      <c r="AK146" s="46"/>
      <c r="AL146" s="46"/>
      <c r="AM146" s="46"/>
      <c r="AN146" s="46"/>
      <c r="AO146" s="46"/>
      <c r="AP146" s="46"/>
      <c r="AQ146" s="41"/>
    </row>
    <row r="147" spans="1:43" x14ac:dyDescent="0.3">
      <c r="A147" s="41"/>
      <c r="B147" s="232"/>
      <c r="C147" s="46"/>
      <c r="D147" s="46"/>
      <c r="E147" s="46"/>
      <c r="F147" s="46"/>
      <c r="G147" s="46"/>
      <c r="H147" s="46"/>
      <c r="I147" s="70">
        <f t="shared" ca="1" si="5"/>
        <v>125</v>
      </c>
      <c r="J147" s="46"/>
      <c r="K147" s="46"/>
      <c r="L147" s="46"/>
      <c r="M147" s="46"/>
      <c r="N147" s="46"/>
      <c r="O147" s="46"/>
      <c r="P147" s="46"/>
      <c r="Q147" s="46"/>
      <c r="R147" s="46"/>
      <c r="S147" s="46"/>
      <c r="T147" s="46"/>
      <c r="W147" s="46"/>
      <c r="X147" s="46"/>
      <c r="Y147" s="46"/>
      <c r="Z147" s="46"/>
      <c r="AB147" s="46"/>
      <c r="AC147" s="46"/>
      <c r="AD147" s="46"/>
      <c r="AE147" s="46"/>
      <c r="AF147" s="46"/>
      <c r="AG147" s="46"/>
      <c r="AH147" s="46"/>
      <c r="AI147" s="46"/>
      <c r="AJ147" s="46"/>
      <c r="AK147" s="46"/>
      <c r="AL147" s="46"/>
      <c r="AM147" s="46"/>
      <c r="AN147" s="46"/>
      <c r="AO147" s="46"/>
      <c r="AP147" s="46"/>
      <c r="AQ147" s="41"/>
    </row>
    <row r="148" spans="1:43" x14ac:dyDescent="0.3">
      <c r="A148" s="41"/>
      <c r="B148" s="232"/>
      <c r="C148" s="46"/>
      <c r="D148" s="46"/>
      <c r="E148" s="46"/>
      <c r="F148" s="46"/>
      <c r="G148" s="46"/>
      <c r="H148" s="46"/>
      <c r="I148" s="70">
        <f t="shared" ca="1" si="5"/>
        <v>125</v>
      </c>
      <c r="J148" s="46"/>
      <c r="K148" s="46"/>
      <c r="L148" s="46"/>
      <c r="M148" s="46"/>
      <c r="N148" s="46"/>
      <c r="O148" s="46"/>
      <c r="P148" s="46"/>
      <c r="Q148" s="46"/>
      <c r="R148" s="46"/>
      <c r="S148" s="46"/>
      <c r="T148" s="46"/>
      <c r="W148" s="46"/>
      <c r="X148" s="46"/>
      <c r="Y148" s="46"/>
      <c r="Z148" s="46"/>
      <c r="AB148" s="46"/>
      <c r="AC148" s="46"/>
      <c r="AD148" s="46"/>
      <c r="AE148" s="46"/>
      <c r="AF148" s="46"/>
      <c r="AG148" s="46"/>
      <c r="AH148" s="46"/>
      <c r="AI148" s="46"/>
      <c r="AJ148" s="46"/>
      <c r="AK148" s="46"/>
      <c r="AL148" s="46"/>
      <c r="AM148" s="46"/>
      <c r="AN148" s="46"/>
      <c r="AO148" s="46"/>
      <c r="AP148" s="46"/>
      <c r="AQ148" s="41"/>
    </row>
    <row r="149" spans="1:43" x14ac:dyDescent="0.3">
      <c r="A149" s="41"/>
      <c r="B149" s="232"/>
      <c r="C149" s="46"/>
      <c r="D149" s="46"/>
      <c r="E149" s="46"/>
      <c r="F149" s="46"/>
      <c r="G149" s="46"/>
      <c r="H149" s="46"/>
      <c r="I149" s="70">
        <f t="shared" ca="1" si="5"/>
        <v>125</v>
      </c>
      <c r="J149" s="46"/>
      <c r="K149" s="46"/>
      <c r="L149" s="46"/>
      <c r="M149" s="46"/>
      <c r="N149" s="46"/>
      <c r="O149" s="46"/>
      <c r="P149" s="46"/>
      <c r="Q149" s="46"/>
      <c r="R149" s="46"/>
      <c r="S149" s="46"/>
      <c r="T149" s="46"/>
      <c r="W149" s="46"/>
      <c r="X149" s="46"/>
      <c r="Y149" s="46"/>
      <c r="Z149" s="46"/>
      <c r="AB149" s="46"/>
      <c r="AC149" s="46"/>
      <c r="AD149" s="46"/>
      <c r="AE149" s="46"/>
      <c r="AF149" s="46"/>
      <c r="AG149" s="46"/>
      <c r="AH149" s="46"/>
      <c r="AI149" s="46"/>
      <c r="AJ149" s="46"/>
      <c r="AK149" s="46"/>
      <c r="AL149" s="46"/>
      <c r="AM149" s="46"/>
      <c r="AN149" s="46"/>
      <c r="AO149" s="46"/>
      <c r="AP149" s="46"/>
      <c r="AQ149" s="41"/>
    </row>
    <row r="150" spans="1:43" x14ac:dyDescent="0.3">
      <c r="A150" s="41"/>
      <c r="B150" s="232"/>
      <c r="C150" s="46"/>
      <c r="D150" s="46"/>
      <c r="E150" s="46"/>
      <c r="F150" s="46"/>
      <c r="G150" s="46"/>
      <c r="H150" s="46"/>
      <c r="I150" s="70">
        <f t="shared" ca="1" si="5"/>
        <v>125</v>
      </c>
      <c r="J150" s="46"/>
      <c r="K150" s="46"/>
      <c r="L150" s="46"/>
      <c r="M150" s="46"/>
      <c r="N150" s="46"/>
      <c r="O150" s="46"/>
      <c r="P150" s="46"/>
      <c r="Q150" s="46"/>
      <c r="R150" s="46"/>
      <c r="S150" s="46"/>
      <c r="T150" s="46"/>
      <c r="W150" s="46"/>
      <c r="X150" s="46"/>
      <c r="Y150" s="46"/>
      <c r="Z150" s="46"/>
      <c r="AB150" s="46"/>
      <c r="AC150" s="46"/>
      <c r="AD150" s="46"/>
      <c r="AE150" s="46"/>
      <c r="AF150" s="46"/>
      <c r="AG150" s="46"/>
      <c r="AH150" s="46"/>
      <c r="AI150" s="46"/>
      <c r="AJ150" s="46"/>
      <c r="AK150" s="46"/>
      <c r="AL150" s="46"/>
      <c r="AM150" s="46"/>
      <c r="AN150" s="46"/>
      <c r="AO150" s="46"/>
      <c r="AP150" s="46"/>
      <c r="AQ150" s="41"/>
    </row>
    <row r="151" spans="1:43" x14ac:dyDescent="0.3">
      <c r="A151" s="41"/>
      <c r="B151" s="232"/>
      <c r="C151" s="46"/>
      <c r="D151" s="46"/>
      <c r="E151" s="46"/>
      <c r="F151" s="46"/>
      <c r="G151" s="46"/>
      <c r="H151" s="46"/>
      <c r="I151" s="70">
        <f t="shared" ca="1" si="5"/>
        <v>125</v>
      </c>
      <c r="J151" s="46"/>
      <c r="K151" s="46"/>
      <c r="L151" s="46"/>
      <c r="M151" s="46"/>
      <c r="N151" s="46"/>
      <c r="O151" s="46"/>
      <c r="P151" s="46"/>
      <c r="Q151" s="46"/>
      <c r="R151" s="46"/>
      <c r="S151" s="46"/>
      <c r="T151" s="46"/>
      <c r="W151" s="46"/>
      <c r="X151" s="46"/>
      <c r="Y151" s="46"/>
      <c r="Z151" s="46"/>
      <c r="AB151" s="46"/>
      <c r="AC151" s="46"/>
      <c r="AD151" s="46"/>
      <c r="AE151" s="46"/>
      <c r="AF151" s="46"/>
      <c r="AG151" s="46"/>
      <c r="AH151" s="46"/>
      <c r="AI151" s="46"/>
      <c r="AJ151" s="46"/>
      <c r="AK151" s="46"/>
      <c r="AL151" s="46"/>
      <c r="AM151" s="46"/>
      <c r="AN151" s="46"/>
      <c r="AO151" s="46"/>
      <c r="AP151" s="46"/>
      <c r="AQ151" s="41"/>
    </row>
    <row r="152" spans="1:43" x14ac:dyDescent="0.3">
      <c r="A152" s="41"/>
      <c r="B152" s="232"/>
      <c r="C152" s="46"/>
      <c r="D152" s="46"/>
      <c r="E152" s="46"/>
      <c r="F152" s="46"/>
      <c r="G152" s="46"/>
      <c r="H152" s="46"/>
      <c r="I152" s="70">
        <f t="shared" ca="1" si="5"/>
        <v>125</v>
      </c>
      <c r="J152" s="46"/>
      <c r="K152" s="46"/>
      <c r="L152" s="46"/>
      <c r="M152" s="46"/>
      <c r="N152" s="46"/>
      <c r="O152" s="46"/>
      <c r="P152" s="46"/>
      <c r="Q152" s="46"/>
      <c r="R152" s="46"/>
      <c r="S152" s="46"/>
      <c r="T152" s="46"/>
      <c r="W152" s="46"/>
      <c r="X152" s="46"/>
      <c r="Y152" s="46"/>
      <c r="Z152" s="46"/>
      <c r="AB152" s="46"/>
      <c r="AC152" s="46"/>
      <c r="AD152" s="46"/>
      <c r="AE152" s="46"/>
      <c r="AF152" s="46"/>
      <c r="AG152" s="46"/>
      <c r="AH152" s="46"/>
      <c r="AI152" s="46"/>
      <c r="AJ152" s="46"/>
      <c r="AK152" s="46"/>
      <c r="AL152" s="46"/>
      <c r="AM152" s="46"/>
      <c r="AN152" s="46"/>
      <c r="AO152" s="46"/>
      <c r="AP152" s="46"/>
      <c r="AQ152" s="41"/>
    </row>
    <row r="153" spans="1:43" x14ac:dyDescent="0.3">
      <c r="A153" s="41"/>
      <c r="B153" s="232"/>
      <c r="C153" s="46"/>
      <c r="D153" s="46"/>
      <c r="E153" s="46"/>
      <c r="F153" s="46"/>
      <c r="G153" s="46"/>
      <c r="H153" s="46"/>
      <c r="I153" s="70">
        <f t="shared" ca="1" si="5"/>
        <v>125</v>
      </c>
      <c r="J153" s="46"/>
      <c r="K153" s="46"/>
      <c r="L153" s="46"/>
      <c r="M153" s="46"/>
      <c r="N153" s="46"/>
      <c r="O153" s="46"/>
      <c r="P153" s="46"/>
      <c r="Q153" s="46"/>
      <c r="R153" s="46"/>
      <c r="S153" s="46"/>
      <c r="T153" s="46"/>
      <c r="W153" s="46"/>
      <c r="X153" s="46"/>
      <c r="Y153" s="46"/>
      <c r="Z153" s="46"/>
      <c r="AB153" s="46"/>
      <c r="AC153" s="46"/>
      <c r="AD153" s="46"/>
      <c r="AE153" s="46"/>
      <c r="AF153" s="46"/>
      <c r="AG153" s="46"/>
      <c r="AH153" s="46"/>
      <c r="AI153" s="46"/>
      <c r="AJ153" s="46"/>
      <c r="AK153" s="46"/>
      <c r="AL153" s="46"/>
      <c r="AM153" s="46"/>
      <c r="AN153" s="46"/>
      <c r="AO153" s="46"/>
      <c r="AP153" s="46"/>
      <c r="AQ153" s="41"/>
    </row>
    <row r="154" spans="1:43" x14ac:dyDescent="0.3">
      <c r="A154" s="41"/>
      <c r="B154" s="232"/>
      <c r="C154" s="46"/>
      <c r="D154" s="46"/>
      <c r="E154" s="46"/>
      <c r="F154" s="46"/>
      <c r="G154" s="46"/>
      <c r="H154" s="46"/>
      <c r="I154" s="70">
        <f t="shared" ca="1" si="5"/>
        <v>125</v>
      </c>
      <c r="J154" s="46"/>
      <c r="K154" s="46"/>
      <c r="L154" s="46"/>
      <c r="M154" s="46"/>
      <c r="N154" s="46"/>
      <c r="O154" s="46"/>
      <c r="P154" s="46"/>
      <c r="Q154" s="46"/>
      <c r="R154" s="46"/>
      <c r="S154" s="46"/>
      <c r="T154" s="46"/>
      <c r="W154" s="46"/>
      <c r="X154" s="46"/>
      <c r="Y154" s="46"/>
      <c r="Z154" s="46"/>
      <c r="AB154" s="46"/>
      <c r="AC154" s="46"/>
      <c r="AD154" s="46"/>
      <c r="AE154" s="46"/>
      <c r="AF154" s="46"/>
      <c r="AG154" s="46"/>
      <c r="AH154" s="46"/>
      <c r="AI154" s="46"/>
      <c r="AJ154" s="46"/>
      <c r="AK154" s="46"/>
      <c r="AL154" s="46"/>
      <c r="AM154" s="46"/>
      <c r="AN154" s="46"/>
      <c r="AO154" s="46"/>
      <c r="AP154" s="46"/>
      <c r="AQ154" s="41"/>
    </row>
    <row r="155" spans="1:43" x14ac:dyDescent="0.3">
      <c r="A155" s="41"/>
      <c r="B155" s="232"/>
      <c r="C155" s="46"/>
      <c r="D155" s="46"/>
      <c r="E155" s="46"/>
      <c r="F155" s="46"/>
      <c r="G155" s="46"/>
      <c r="H155" s="46"/>
      <c r="I155" s="70">
        <f t="shared" ca="1" si="5"/>
        <v>125</v>
      </c>
      <c r="J155" s="46"/>
      <c r="K155" s="46"/>
      <c r="L155" s="46"/>
      <c r="M155" s="46"/>
      <c r="N155" s="46"/>
      <c r="O155" s="46"/>
      <c r="P155" s="46"/>
      <c r="Q155" s="46"/>
      <c r="R155" s="46"/>
      <c r="S155" s="46"/>
      <c r="T155" s="46"/>
      <c r="W155" s="46"/>
      <c r="X155" s="46"/>
      <c r="Y155" s="46"/>
      <c r="Z155" s="46"/>
      <c r="AB155" s="46"/>
      <c r="AC155" s="46"/>
      <c r="AD155" s="46"/>
      <c r="AE155" s="46"/>
      <c r="AF155" s="46"/>
      <c r="AG155" s="46"/>
      <c r="AH155" s="46"/>
      <c r="AI155" s="46"/>
      <c r="AJ155" s="46"/>
      <c r="AK155" s="46"/>
      <c r="AL155" s="46"/>
      <c r="AM155" s="46"/>
      <c r="AN155" s="46"/>
      <c r="AO155" s="46"/>
      <c r="AP155" s="46"/>
      <c r="AQ155" s="41"/>
    </row>
    <row r="156" spans="1:43" x14ac:dyDescent="0.3">
      <c r="A156" s="41"/>
      <c r="B156" s="232"/>
      <c r="C156" s="46"/>
      <c r="D156" s="46"/>
      <c r="E156" s="46"/>
      <c r="F156" s="46"/>
      <c r="G156" s="46"/>
      <c r="H156" s="46"/>
      <c r="I156" s="70">
        <f t="shared" ca="1" si="5"/>
        <v>125</v>
      </c>
      <c r="J156" s="46"/>
      <c r="K156" s="46"/>
      <c r="L156" s="46"/>
      <c r="M156" s="46"/>
      <c r="N156" s="46"/>
      <c r="O156" s="46"/>
      <c r="P156" s="46"/>
      <c r="Q156" s="46"/>
      <c r="R156" s="46"/>
      <c r="S156" s="46"/>
      <c r="T156" s="46"/>
      <c r="W156" s="46"/>
      <c r="X156" s="46"/>
      <c r="Y156" s="46"/>
      <c r="Z156" s="46"/>
      <c r="AB156" s="46"/>
      <c r="AC156" s="46"/>
      <c r="AD156" s="46"/>
      <c r="AE156" s="46"/>
      <c r="AF156" s="46"/>
      <c r="AG156" s="46"/>
      <c r="AH156" s="46"/>
      <c r="AI156" s="46"/>
      <c r="AJ156" s="46"/>
      <c r="AK156" s="46"/>
      <c r="AL156" s="46"/>
      <c r="AM156" s="46"/>
      <c r="AN156" s="46"/>
      <c r="AO156" s="46"/>
      <c r="AP156" s="46"/>
      <c r="AQ156" s="41"/>
    </row>
    <row r="157" spans="1:43" x14ac:dyDescent="0.3">
      <c r="A157" s="41"/>
      <c r="B157" s="232"/>
      <c r="C157" s="46"/>
      <c r="D157" s="46"/>
      <c r="E157" s="46"/>
      <c r="F157" s="46"/>
      <c r="G157" s="46"/>
      <c r="H157" s="46"/>
      <c r="I157" s="70">
        <f t="shared" ca="1" si="5"/>
        <v>125</v>
      </c>
      <c r="J157" s="46"/>
      <c r="K157" s="46"/>
      <c r="L157" s="46"/>
      <c r="M157" s="46"/>
      <c r="N157" s="46"/>
      <c r="O157" s="46"/>
      <c r="P157" s="46"/>
      <c r="Q157" s="46"/>
      <c r="R157" s="46"/>
      <c r="S157" s="46"/>
      <c r="T157" s="46"/>
      <c r="W157" s="46"/>
      <c r="X157" s="46"/>
      <c r="Y157" s="46"/>
      <c r="Z157" s="46"/>
      <c r="AB157" s="46"/>
      <c r="AC157" s="46"/>
      <c r="AD157" s="46"/>
      <c r="AE157" s="46"/>
      <c r="AF157" s="46"/>
      <c r="AG157" s="46"/>
      <c r="AH157" s="46"/>
      <c r="AI157" s="46"/>
      <c r="AJ157" s="46"/>
      <c r="AK157" s="46"/>
      <c r="AL157" s="46"/>
      <c r="AM157" s="46"/>
      <c r="AN157" s="46"/>
      <c r="AO157" s="46"/>
      <c r="AP157" s="46"/>
      <c r="AQ157" s="41"/>
    </row>
    <row r="158" spans="1:43" x14ac:dyDescent="0.3">
      <c r="A158" s="41"/>
      <c r="B158" s="232"/>
      <c r="C158" s="46"/>
      <c r="D158" s="46"/>
      <c r="E158" s="46"/>
      <c r="F158" s="46"/>
      <c r="G158" s="46"/>
      <c r="H158" s="46"/>
      <c r="I158" s="70">
        <f t="shared" ca="1" si="5"/>
        <v>125</v>
      </c>
      <c r="J158" s="46"/>
      <c r="K158" s="46"/>
      <c r="L158" s="46"/>
      <c r="M158" s="46"/>
      <c r="N158" s="46"/>
      <c r="O158" s="46"/>
      <c r="P158" s="46"/>
      <c r="Q158" s="46"/>
      <c r="R158" s="46"/>
      <c r="S158" s="46"/>
      <c r="T158" s="46"/>
      <c r="W158" s="46"/>
      <c r="X158" s="46"/>
      <c r="Y158" s="46"/>
      <c r="Z158" s="46"/>
      <c r="AB158" s="46"/>
      <c r="AC158" s="46"/>
      <c r="AD158" s="46"/>
      <c r="AE158" s="46"/>
      <c r="AF158" s="46"/>
      <c r="AG158" s="46"/>
      <c r="AH158" s="46"/>
      <c r="AI158" s="46"/>
      <c r="AJ158" s="46"/>
      <c r="AK158" s="46"/>
      <c r="AL158" s="46"/>
      <c r="AM158" s="46"/>
      <c r="AN158" s="46"/>
      <c r="AO158" s="46"/>
      <c r="AP158" s="46"/>
      <c r="AQ158" s="41"/>
    </row>
    <row r="159" spans="1:43" x14ac:dyDescent="0.3">
      <c r="A159" s="41"/>
      <c r="B159" s="232"/>
      <c r="C159" s="46"/>
      <c r="D159" s="46"/>
      <c r="E159" s="46"/>
      <c r="F159" s="46"/>
      <c r="G159" s="46"/>
      <c r="H159" s="46"/>
      <c r="I159" s="70">
        <f t="shared" ca="1" si="5"/>
        <v>125</v>
      </c>
      <c r="J159" s="46"/>
      <c r="K159" s="46"/>
      <c r="L159" s="46"/>
      <c r="M159" s="46"/>
      <c r="N159" s="46"/>
      <c r="O159" s="46"/>
      <c r="P159" s="46"/>
      <c r="Q159" s="46"/>
      <c r="R159" s="46"/>
      <c r="S159" s="46"/>
      <c r="T159" s="46"/>
      <c r="W159" s="46"/>
      <c r="X159" s="46"/>
      <c r="Y159" s="46"/>
      <c r="Z159" s="46"/>
      <c r="AB159" s="46"/>
      <c r="AC159" s="46"/>
      <c r="AD159" s="46"/>
      <c r="AE159" s="46"/>
      <c r="AF159" s="46"/>
      <c r="AG159" s="46"/>
      <c r="AH159" s="46"/>
      <c r="AI159" s="46"/>
      <c r="AJ159" s="46"/>
      <c r="AK159" s="46"/>
      <c r="AL159" s="46"/>
      <c r="AM159" s="46"/>
      <c r="AN159" s="46"/>
      <c r="AO159" s="46"/>
      <c r="AP159" s="46"/>
      <c r="AQ159" s="41"/>
    </row>
    <row r="160" spans="1:43" x14ac:dyDescent="0.3">
      <c r="A160" s="41"/>
      <c r="B160" s="232"/>
      <c r="C160" s="46"/>
      <c r="D160" s="46"/>
      <c r="E160" s="46"/>
      <c r="F160" s="46"/>
      <c r="G160" s="46"/>
      <c r="H160" s="46"/>
      <c r="I160" s="70">
        <f t="shared" ca="1" si="5"/>
        <v>125</v>
      </c>
      <c r="J160" s="46"/>
      <c r="K160" s="46"/>
      <c r="L160" s="46"/>
      <c r="M160" s="46"/>
      <c r="N160" s="46"/>
      <c r="O160" s="46"/>
      <c r="P160" s="46"/>
      <c r="Q160" s="46"/>
      <c r="R160" s="46"/>
      <c r="S160" s="46"/>
      <c r="T160" s="46"/>
      <c r="W160" s="46"/>
      <c r="X160" s="46"/>
      <c r="Y160" s="46"/>
      <c r="Z160" s="46"/>
      <c r="AB160" s="46"/>
      <c r="AC160" s="46"/>
      <c r="AD160" s="46"/>
      <c r="AE160" s="46"/>
      <c r="AF160" s="46"/>
      <c r="AG160" s="46"/>
      <c r="AH160" s="46"/>
      <c r="AI160" s="46"/>
      <c r="AJ160" s="46"/>
      <c r="AK160" s="46"/>
      <c r="AL160" s="46"/>
      <c r="AM160" s="46"/>
      <c r="AN160" s="46"/>
      <c r="AO160" s="46"/>
      <c r="AP160" s="46"/>
      <c r="AQ160" s="41"/>
    </row>
    <row r="161" spans="1:43" x14ac:dyDescent="0.3">
      <c r="A161" s="41"/>
      <c r="B161" s="232"/>
      <c r="C161" s="46"/>
      <c r="D161" s="46"/>
      <c r="E161" s="46"/>
      <c r="F161" s="46"/>
      <c r="G161" s="46"/>
      <c r="H161" s="46"/>
      <c r="I161" s="70">
        <f t="shared" ca="1" si="5"/>
        <v>125</v>
      </c>
      <c r="J161" s="46"/>
      <c r="K161" s="46"/>
      <c r="L161" s="46"/>
      <c r="M161" s="46"/>
      <c r="N161" s="46"/>
      <c r="O161" s="46"/>
      <c r="P161" s="46"/>
      <c r="Q161" s="46"/>
      <c r="R161" s="46"/>
      <c r="S161" s="46"/>
      <c r="T161" s="46"/>
      <c r="W161" s="46"/>
      <c r="X161" s="46"/>
      <c r="Y161" s="46"/>
      <c r="Z161" s="46"/>
      <c r="AB161" s="46"/>
      <c r="AC161" s="46"/>
      <c r="AD161" s="46"/>
      <c r="AE161" s="46"/>
      <c r="AF161" s="46"/>
      <c r="AG161" s="46"/>
      <c r="AH161" s="46"/>
      <c r="AI161" s="46"/>
      <c r="AJ161" s="46"/>
      <c r="AK161" s="46"/>
      <c r="AL161" s="46"/>
      <c r="AM161" s="46"/>
      <c r="AN161" s="46"/>
      <c r="AO161" s="46"/>
      <c r="AP161" s="46"/>
      <c r="AQ161" s="41"/>
    </row>
    <row r="162" spans="1:43" x14ac:dyDescent="0.3">
      <c r="A162" s="41"/>
      <c r="B162" s="232"/>
      <c r="C162" s="46"/>
      <c r="D162" s="46"/>
      <c r="E162" s="46"/>
      <c r="F162" s="46"/>
      <c r="G162" s="46"/>
      <c r="H162" s="46"/>
      <c r="I162" s="70">
        <f t="shared" ca="1" si="5"/>
        <v>125</v>
      </c>
      <c r="J162" s="46"/>
      <c r="K162" s="46"/>
      <c r="L162" s="46"/>
      <c r="M162" s="46"/>
      <c r="N162" s="46"/>
      <c r="O162" s="46"/>
      <c r="P162" s="46"/>
      <c r="Q162" s="46"/>
      <c r="R162" s="46"/>
      <c r="S162" s="46"/>
      <c r="T162" s="46"/>
      <c r="W162" s="46"/>
      <c r="X162" s="46"/>
      <c r="Y162" s="46"/>
      <c r="Z162" s="46"/>
      <c r="AB162" s="46"/>
      <c r="AC162" s="46"/>
      <c r="AD162" s="46"/>
      <c r="AE162" s="46"/>
      <c r="AF162" s="46"/>
      <c r="AG162" s="46"/>
      <c r="AH162" s="46"/>
      <c r="AI162" s="46"/>
      <c r="AJ162" s="46"/>
      <c r="AK162" s="46"/>
      <c r="AL162" s="46"/>
      <c r="AM162" s="46"/>
      <c r="AN162" s="46"/>
      <c r="AO162" s="46"/>
      <c r="AP162" s="46"/>
      <c r="AQ162" s="41"/>
    </row>
    <row r="163" spans="1:43" x14ac:dyDescent="0.3">
      <c r="A163" s="41"/>
      <c r="B163" s="232"/>
      <c r="C163" s="46"/>
      <c r="D163" s="46"/>
      <c r="E163" s="46"/>
      <c r="F163" s="46"/>
      <c r="G163" s="46"/>
      <c r="H163" s="46"/>
      <c r="I163" s="70">
        <f t="shared" ca="1" si="5"/>
        <v>125</v>
      </c>
      <c r="J163" s="46"/>
      <c r="K163" s="46"/>
      <c r="L163" s="46"/>
      <c r="M163" s="46"/>
      <c r="N163" s="46"/>
      <c r="O163" s="46"/>
      <c r="P163" s="46"/>
      <c r="Q163" s="46"/>
      <c r="R163" s="46"/>
      <c r="S163" s="46"/>
      <c r="T163" s="46"/>
      <c r="W163" s="46"/>
      <c r="X163" s="46"/>
      <c r="Y163" s="46"/>
      <c r="Z163" s="46"/>
      <c r="AB163" s="46"/>
      <c r="AC163" s="46"/>
      <c r="AD163" s="46"/>
      <c r="AE163" s="46"/>
      <c r="AF163" s="46"/>
      <c r="AG163" s="46"/>
      <c r="AH163" s="46"/>
      <c r="AI163" s="46"/>
      <c r="AJ163" s="46"/>
      <c r="AK163" s="46"/>
      <c r="AL163" s="46"/>
      <c r="AM163" s="46"/>
      <c r="AN163" s="46"/>
      <c r="AO163" s="46"/>
      <c r="AP163" s="46"/>
      <c r="AQ163" s="41"/>
    </row>
    <row r="164" spans="1:43" x14ac:dyDescent="0.3">
      <c r="A164" s="41"/>
      <c r="B164" s="232"/>
      <c r="C164" s="46"/>
      <c r="D164" s="46"/>
      <c r="E164" s="46"/>
      <c r="F164" s="46"/>
      <c r="G164" s="46"/>
      <c r="H164" s="46"/>
      <c r="I164" s="70">
        <f t="shared" ca="1" si="5"/>
        <v>125</v>
      </c>
      <c r="J164" s="46"/>
      <c r="K164" s="46"/>
      <c r="L164" s="46"/>
      <c r="M164" s="46"/>
      <c r="N164" s="46"/>
      <c r="O164" s="46"/>
      <c r="P164" s="46"/>
      <c r="Q164" s="46"/>
      <c r="R164" s="46"/>
      <c r="S164" s="46"/>
      <c r="T164" s="46"/>
      <c r="W164" s="46"/>
      <c r="X164" s="46"/>
      <c r="Y164" s="46"/>
      <c r="Z164" s="46"/>
      <c r="AB164" s="46"/>
      <c r="AC164" s="46"/>
      <c r="AD164" s="46"/>
      <c r="AE164" s="46"/>
      <c r="AF164" s="46"/>
      <c r="AG164" s="46"/>
      <c r="AH164" s="46"/>
      <c r="AI164" s="46"/>
      <c r="AJ164" s="46"/>
      <c r="AK164" s="46"/>
      <c r="AL164" s="46"/>
      <c r="AM164" s="46"/>
      <c r="AN164" s="46"/>
      <c r="AO164" s="46"/>
      <c r="AP164" s="46"/>
      <c r="AQ164" s="41"/>
    </row>
    <row r="165" spans="1:43" x14ac:dyDescent="0.3">
      <c r="A165" s="41"/>
      <c r="B165" s="232"/>
      <c r="C165" s="46"/>
      <c r="D165" s="46"/>
      <c r="E165" s="46"/>
      <c r="F165" s="46"/>
      <c r="G165" s="46"/>
      <c r="H165" s="46"/>
      <c r="I165" s="70">
        <f t="shared" ca="1" si="5"/>
        <v>125</v>
      </c>
      <c r="J165" s="46"/>
      <c r="K165" s="46"/>
      <c r="L165" s="46"/>
      <c r="M165" s="46"/>
      <c r="N165" s="46"/>
      <c r="O165" s="46"/>
      <c r="P165" s="46"/>
      <c r="Q165" s="46"/>
      <c r="R165" s="46"/>
      <c r="S165" s="46"/>
      <c r="T165" s="46"/>
      <c r="W165" s="46"/>
      <c r="X165" s="46"/>
      <c r="Y165" s="46"/>
      <c r="Z165" s="46"/>
      <c r="AB165" s="46"/>
      <c r="AC165" s="46"/>
      <c r="AD165" s="46"/>
      <c r="AE165" s="46"/>
      <c r="AF165" s="46"/>
      <c r="AG165" s="46"/>
      <c r="AH165" s="46"/>
      <c r="AI165" s="46"/>
      <c r="AJ165" s="46"/>
      <c r="AK165" s="46"/>
      <c r="AL165" s="46"/>
      <c r="AM165" s="46"/>
      <c r="AN165" s="46"/>
      <c r="AO165" s="46"/>
      <c r="AP165" s="46"/>
      <c r="AQ165" s="41"/>
    </row>
    <row r="166" spans="1:43" x14ac:dyDescent="0.3">
      <c r="A166" s="41"/>
      <c r="B166" s="232"/>
      <c r="C166" s="46"/>
      <c r="D166" s="46"/>
      <c r="E166" s="46"/>
      <c r="F166" s="46"/>
      <c r="G166" s="46"/>
      <c r="H166" s="46"/>
      <c r="I166" s="70">
        <f t="shared" ca="1" si="5"/>
        <v>125</v>
      </c>
      <c r="J166" s="46"/>
      <c r="K166" s="46"/>
      <c r="L166" s="46"/>
      <c r="M166" s="46"/>
      <c r="N166" s="46"/>
      <c r="O166" s="46"/>
      <c r="P166" s="46"/>
      <c r="Q166" s="46"/>
      <c r="R166" s="46"/>
      <c r="S166" s="46"/>
      <c r="T166" s="46"/>
      <c r="W166" s="46"/>
      <c r="X166" s="46"/>
      <c r="Y166" s="46"/>
      <c r="Z166" s="46"/>
      <c r="AB166" s="46"/>
      <c r="AC166" s="46"/>
      <c r="AD166" s="46"/>
      <c r="AE166" s="46"/>
      <c r="AF166" s="46"/>
      <c r="AG166" s="46"/>
      <c r="AH166" s="46"/>
      <c r="AI166" s="46"/>
      <c r="AJ166" s="46"/>
      <c r="AK166" s="46"/>
      <c r="AL166" s="46"/>
      <c r="AM166" s="46"/>
      <c r="AN166" s="46"/>
      <c r="AO166" s="46"/>
      <c r="AP166" s="46"/>
      <c r="AQ166" s="41"/>
    </row>
    <row r="167" spans="1:43" x14ac:dyDescent="0.3">
      <c r="A167" s="41"/>
      <c r="B167" s="232"/>
      <c r="C167" s="46"/>
      <c r="D167" s="46"/>
      <c r="E167" s="46"/>
      <c r="F167" s="46"/>
      <c r="G167" s="46"/>
      <c r="H167" s="46"/>
      <c r="I167" s="70">
        <f t="shared" ca="1" si="5"/>
        <v>125</v>
      </c>
      <c r="J167" s="46"/>
      <c r="K167" s="46"/>
      <c r="L167" s="46"/>
      <c r="M167" s="46"/>
      <c r="N167" s="46"/>
      <c r="O167" s="46"/>
      <c r="P167" s="46"/>
      <c r="Q167" s="46"/>
      <c r="R167" s="46"/>
      <c r="S167" s="46"/>
      <c r="T167" s="46"/>
      <c r="W167" s="46"/>
      <c r="X167" s="46"/>
      <c r="Y167" s="46"/>
      <c r="Z167" s="46"/>
      <c r="AB167" s="46"/>
      <c r="AC167" s="46"/>
      <c r="AD167" s="46"/>
      <c r="AE167" s="46"/>
      <c r="AF167" s="46"/>
      <c r="AG167" s="46"/>
      <c r="AH167" s="46"/>
      <c r="AI167" s="46"/>
      <c r="AJ167" s="46"/>
      <c r="AK167" s="46"/>
      <c r="AL167" s="46"/>
      <c r="AM167" s="46"/>
      <c r="AN167" s="46"/>
      <c r="AO167" s="46"/>
      <c r="AP167" s="46"/>
      <c r="AQ167" s="41"/>
    </row>
    <row r="168" spans="1:43" x14ac:dyDescent="0.3">
      <c r="A168" s="41"/>
      <c r="B168" s="232"/>
      <c r="C168" s="46"/>
      <c r="D168" s="46"/>
      <c r="E168" s="46"/>
      <c r="F168" s="46"/>
      <c r="G168" s="46"/>
      <c r="H168" s="46"/>
      <c r="I168" s="70">
        <f t="shared" ca="1" si="5"/>
        <v>125</v>
      </c>
      <c r="J168" s="46"/>
      <c r="K168" s="46"/>
      <c r="L168" s="46"/>
      <c r="M168" s="46"/>
      <c r="N168" s="46"/>
      <c r="O168" s="46"/>
      <c r="P168" s="46"/>
      <c r="Q168" s="46"/>
      <c r="R168" s="46"/>
      <c r="S168" s="46"/>
      <c r="T168" s="46"/>
      <c r="W168" s="46"/>
      <c r="X168" s="46"/>
      <c r="Y168" s="46"/>
      <c r="Z168" s="46"/>
      <c r="AB168" s="46"/>
      <c r="AC168" s="46"/>
      <c r="AD168" s="46"/>
      <c r="AE168" s="46"/>
      <c r="AF168" s="46"/>
      <c r="AG168" s="46"/>
      <c r="AH168" s="46"/>
      <c r="AI168" s="46"/>
      <c r="AJ168" s="46"/>
      <c r="AK168" s="46"/>
      <c r="AL168" s="46"/>
      <c r="AM168" s="46"/>
      <c r="AN168" s="46"/>
      <c r="AO168" s="46"/>
      <c r="AP168" s="46"/>
      <c r="AQ168" s="41"/>
    </row>
    <row r="169" spans="1:43" x14ac:dyDescent="0.3">
      <c r="A169" s="41"/>
      <c r="B169" s="232"/>
      <c r="C169" s="46"/>
      <c r="D169" s="46"/>
      <c r="E169" s="46"/>
      <c r="F169" s="46"/>
      <c r="G169" s="46"/>
      <c r="H169" s="46"/>
      <c r="I169" s="70">
        <f t="shared" ca="1" si="5"/>
        <v>125</v>
      </c>
      <c r="J169" s="46"/>
      <c r="K169" s="46"/>
      <c r="L169" s="46"/>
      <c r="M169" s="46"/>
      <c r="N169" s="46"/>
      <c r="O169" s="46"/>
      <c r="P169" s="46"/>
      <c r="Q169" s="46"/>
      <c r="R169" s="46"/>
      <c r="S169" s="46"/>
      <c r="T169" s="46"/>
      <c r="W169" s="46"/>
      <c r="X169" s="46"/>
      <c r="Y169" s="46"/>
      <c r="Z169" s="46"/>
      <c r="AB169" s="46"/>
      <c r="AC169" s="46"/>
      <c r="AD169" s="46"/>
      <c r="AE169" s="46"/>
      <c r="AF169" s="46"/>
      <c r="AG169" s="46"/>
      <c r="AH169" s="46"/>
      <c r="AI169" s="46"/>
      <c r="AJ169" s="46"/>
      <c r="AK169" s="46"/>
      <c r="AL169" s="46"/>
      <c r="AM169" s="46"/>
      <c r="AN169" s="46"/>
      <c r="AO169" s="46"/>
      <c r="AP169" s="46"/>
      <c r="AQ169" s="41"/>
    </row>
    <row r="170" spans="1:43" x14ac:dyDescent="0.3">
      <c r="A170" s="41"/>
      <c r="B170" s="232"/>
      <c r="C170" s="46"/>
      <c r="D170" s="46"/>
      <c r="E170" s="46"/>
      <c r="F170" s="46"/>
      <c r="G170" s="46"/>
      <c r="H170" s="46"/>
      <c r="I170" s="70">
        <f t="shared" ca="1" si="5"/>
        <v>125</v>
      </c>
      <c r="J170" s="46"/>
      <c r="K170" s="46"/>
      <c r="L170" s="46"/>
      <c r="M170" s="46"/>
      <c r="N170" s="46"/>
      <c r="O170" s="46"/>
      <c r="P170" s="46"/>
      <c r="Q170" s="46"/>
      <c r="R170" s="46"/>
      <c r="S170" s="46"/>
      <c r="T170" s="46"/>
      <c r="W170" s="46"/>
      <c r="X170" s="46"/>
      <c r="Y170" s="46"/>
      <c r="Z170" s="46"/>
      <c r="AB170" s="46"/>
      <c r="AC170" s="46"/>
      <c r="AD170" s="46"/>
      <c r="AE170" s="46"/>
      <c r="AF170" s="46"/>
      <c r="AG170" s="46"/>
      <c r="AH170" s="46"/>
      <c r="AI170" s="46"/>
      <c r="AJ170" s="46"/>
      <c r="AK170" s="46"/>
      <c r="AL170" s="46"/>
      <c r="AM170" s="46"/>
      <c r="AN170" s="46"/>
      <c r="AO170" s="46"/>
      <c r="AP170" s="46"/>
      <c r="AQ170" s="41"/>
    </row>
    <row r="171" spans="1:43" x14ac:dyDescent="0.3">
      <c r="A171" s="41"/>
      <c r="B171" s="232"/>
      <c r="C171" s="46"/>
      <c r="D171" s="46"/>
      <c r="E171" s="46"/>
      <c r="F171" s="46"/>
      <c r="G171" s="46"/>
      <c r="H171" s="46"/>
      <c r="I171" s="70">
        <f t="shared" ca="1" si="5"/>
        <v>125</v>
      </c>
      <c r="J171" s="46"/>
      <c r="K171" s="46"/>
      <c r="L171" s="46"/>
      <c r="M171" s="46"/>
      <c r="N171" s="46"/>
      <c r="O171" s="46"/>
      <c r="P171" s="46"/>
      <c r="Q171" s="46"/>
      <c r="R171" s="46"/>
      <c r="S171" s="46"/>
      <c r="T171" s="46"/>
      <c r="W171" s="46"/>
      <c r="X171" s="46"/>
      <c r="Y171" s="46"/>
      <c r="Z171" s="46"/>
      <c r="AB171" s="46"/>
      <c r="AC171" s="46"/>
      <c r="AD171" s="46"/>
      <c r="AE171" s="46"/>
      <c r="AF171" s="46"/>
      <c r="AG171" s="46"/>
      <c r="AH171" s="46"/>
      <c r="AI171" s="46"/>
      <c r="AJ171" s="46"/>
      <c r="AK171" s="46"/>
      <c r="AL171" s="46"/>
      <c r="AM171" s="46"/>
      <c r="AN171" s="46"/>
      <c r="AO171" s="46"/>
      <c r="AP171" s="46"/>
      <c r="AQ171" s="41"/>
    </row>
    <row r="172" spans="1:43" x14ac:dyDescent="0.3">
      <c r="A172" s="41"/>
      <c r="B172" s="232"/>
      <c r="C172" s="46"/>
      <c r="D172" s="46"/>
      <c r="E172" s="46"/>
      <c r="F172" s="46"/>
      <c r="G172" s="46"/>
      <c r="H172" s="46"/>
      <c r="I172" s="70">
        <f t="shared" ca="1" si="5"/>
        <v>125</v>
      </c>
      <c r="J172" s="46"/>
      <c r="K172" s="46"/>
      <c r="L172" s="46"/>
      <c r="M172" s="46"/>
      <c r="N172" s="46"/>
      <c r="O172" s="46"/>
      <c r="P172" s="46"/>
      <c r="Q172" s="46"/>
      <c r="R172" s="46"/>
      <c r="S172" s="46"/>
      <c r="T172" s="46"/>
      <c r="W172" s="46"/>
      <c r="X172" s="46"/>
      <c r="Y172" s="46"/>
      <c r="Z172" s="46"/>
      <c r="AB172" s="46"/>
      <c r="AC172" s="46"/>
      <c r="AD172" s="46"/>
      <c r="AE172" s="46"/>
      <c r="AF172" s="46"/>
      <c r="AG172" s="46"/>
      <c r="AH172" s="46"/>
      <c r="AI172" s="46"/>
      <c r="AJ172" s="46"/>
      <c r="AK172" s="46"/>
      <c r="AL172" s="46"/>
      <c r="AM172" s="46"/>
      <c r="AN172" s="46"/>
      <c r="AO172" s="46"/>
      <c r="AP172" s="46"/>
      <c r="AQ172" s="41"/>
    </row>
    <row r="173" spans="1:43" x14ac:dyDescent="0.3">
      <c r="A173" s="41"/>
      <c r="B173" s="232"/>
      <c r="C173" s="46"/>
      <c r="D173" s="46"/>
      <c r="E173" s="46"/>
      <c r="F173" s="46"/>
      <c r="G173" s="46"/>
      <c r="H173" s="46"/>
      <c r="I173" s="70">
        <f t="shared" ca="1" si="5"/>
        <v>125</v>
      </c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W173" s="46"/>
      <c r="X173" s="46"/>
      <c r="Y173" s="46"/>
      <c r="Z173" s="46"/>
      <c r="AB173" s="46"/>
      <c r="AC173" s="46"/>
      <c r="AD173" s="46"/>
      <c r="AE173" s="46"/>
      <c r="AF173" s="46"/>
      <c r="AG173" s="46"/>
      <c r="AH173" s="46"/>
      <c r="AI173" s="46"/>
      <c r="AJ173" s="46"/>
      <c r="AK173" s="46"/>
      <c r="AL173" s="46"/>
      <c r="AM173" s="46"/>
      <c r="AN173" s="46"/>
      <c r="AO173" s="46"/>
      <c r="AP173" s="46"/>
      <c r="AQ173" s="41"/>
    </row>
    <row r="174" spans="1:43" x14ac:dyDescent="0.3">
      <c r="A174" s="41"/>
      <c r="B174" s="232"/>
      <c r="C174" s="46"/>
      <c r="D174" s="46"/>
      <c r="E174" s="46"/>
      <c r="F174" s="46"/>
      <c r="G174" s="46"/>
      <c r="H174" s="46"/>
      <c r="I174" s="70">
        <f t="shared" ca="1" si="5"/>
        <v>125</v>
      </c>
      <c r="J174" s="46"/>
      <c r="K174" s="46"/>
      <c r="L174" s="46"/>
      <c r="M174" s="46"/>
      <c r="N174" s="46"/>
      <c r="O174" s="46"/>
      <c r="P174" s="46"/>
      <c r="Q174" s="46"/>
      <c r="R174" s="46"/>
      <c r="S174" s="46"/>
      <c r="T174" s="46"/>
      <c r="W174" s="46"/>
      <c r="X174" s="46"/>
      <c r="Y174" s="46"/>
      <c r="Z174" s="46"/>
      <c r="AB174" s="46"/>
      <c r="AC174" s="46"/>
      <c r="AD174" s="46"/>
      <c r="AE174" s="46"/>
      <c r="AF174" s="46"/>
      <c r="AG174" s="46"/>
      <c r="AH174" s="46"/>
      <c r="AI174" s="46"/>
      <c r="AJ174" s="46"/>
      <c r="AK174" s="46"/>
      <c r="AL174" s="46"/>
      <c r="AM174" s="46"/>
      <c r="AN174" s="46"/>
      <c r="AO174" s="46"/>
      <c r="AP174" s="46"/>
      <c r="AQ174" s="41"/>
    </row>
    <row r="175" spans="1:43" x14ac:dyDescent="0.3">
      <c r="A175" s="41"/>
      <c r="B175" s="232"/>
      <c r="C175" s="46"/>
      <c r="D175" s="46"/>
      <c r="E175" s="46"/>
      <c r="F175" s="46"/>
      <c r="G175" s="46"/>
      <c r="H175" s="46"/>
      <c r="I175" s="70">
        <f t="shared" ca="1" si="5"/>
        <v>125</v>
      </c>
      <c r="J175" s="46"/>
      <c r="K175" s="46"/>
      <c r="L175" s="46"/>
      <c r="M175" s="46"/>
      <c r="N175" s="46"/>
      <c r="O175" s="46"/>
      <c r="P175" s="46"/>
      <c r="Q175" s="46"/>
      <c r="R175" s="46"/>
      <c r="S175" s="46"/>
      <c r="T175" s="46"/>
      <c r="W175" s="46"/>
      <c r="X175" s="46"/>
      <c r="Y175" s="46"/>
      <c r="Z175" s="46"/>
      <c r="AB175" s="46"/>
      <c r="AC175" s="46"/>
      <c r="AD175" s="46"/>
      <c r="AE175" s="46"/>
      <c r="AF175" s="46"/>
      <c r="AG175" s="46"/>
      <c r="AH175" s="46"/>
      <c r="AI175" s="46"/>
      <c r="AJ175" s="46"/>
      <c r="AK175" s="46"/>
      <c r="AL175" s="46"/>
      <c r="AM175" s="46"/>
      <c r="AN175" s="46"/>
      <c r="AO175" s="46"/>
      <c r="AP175" s="46"/>
      <c r="AQ175" s="41"/>
    </row>
    <row r="176" spans="1:43" x14ac:dyDescent="0.3">
      <c r="A176" s="41"/>
      <c r="B176" s="232"/>
      <c r="C176" s="46"/>
      <c r="D176" s="46"/>
      <c r="E176" s="46"/>
      <c r="F176" s="46"/>
      <c r="G176" s="46"/>
      <c r="H176" s="46"/>
      <c r="I176" s="70">
        <f t="shared" ca="1" si="5"/>
        <v>125</v>
      </c>
      <c r="J176" s="46"/>
      <c r="K176" s="46"/>
      <c r="L176" s="46"/>
      <c r="M176" s="46"/>
      <c r="N176" s="46"/>
      <c r="O176" s="46"/>
      <c r="P176" s="46"/>
      <c r="Q176" s="46"/>
      <c r="R176" s="46"/>
      <c r="S176" s="46"/>
      <c r="T176" s="46"/>
      <c r="W176" s="46"/>
      <c r="X176" s="46"/>
      <c r="Y176" s="46"/>
      <c r="Z176" s="46"/>
      <c r="AB176" s="46"/>
      <c r="AC176" s="46"/>
      <c r="AD176" s="46"/>
      <c r="AE176" s="46"/>
      <c r="AF176" s="46"/>
      <c r="AG176" s="46"/>
      <c r="AH176" s="46"/>
      <c r="AI176" s="46"/>
      <c r="AJ176" s="46"/>
      <c r="AK176" s="46"/>
      <c r="AL176" s="46"/>
      <c r="AM176" s="46"/>
      <c r="AN176" s="46"/>
      <c r="AO176" s="46"/>
      <c r="AP176" s="46"/>
      <c r="AQ176" s="41"/>
    </row>
    <row r="177" spans="1:43" x14ac:dyDescent="0.3">
      <c r="A177" s="41"/>
      <c r="B177" s="232"/>
      <c r="C177" s="46"/>
      <c r="D177" s="46"/>
      <c r="E177" s="46"/>
      <c r="F177" s="46"/>
      <c r="G177" s="46"/>
      <c r="H177" s="46"/>
      <c r="I177" s="70">
        <f t="shared" ca="1" si="5"/>
        <v>125</v>
      </c>
      <c r="J177" s="46"/>
      <c r="K177" s="46"/>
      <c r="L177" s="46"/>
      <c r="M177" s="46"/>
      <c r="N177" s="46"/>
      <c r="O177" s="46"/>
      <c r="P177" s="46"/>
      <c r="Q177" s="46"/>
      <c r="R177" s="46"/>
      <c r="S177" s="46"/>
      <c r="T177" s="46"/>
      <c r="W177" s="46"/>
      <c r="X177" s="46"/>
      <c r="Y177" s="46"/>
      <c r="Z177" s="46"/>
      <c r="AB177" s="46"/>
      <c r="AC177" s="46"/>
      <c r="AD177" s="46"/>
      <c r="AE177" s="46"/>
      <c r="AF177" s="46"/>
      <c r="AG177" s="46"/>
      <c r="AH177" s="46"/>
      <c r="AI177" s="46"/>
      <c r="AJ177" s="46"/>
      <c r="AK177" s="46"/>
      <c r="AL177" s="46"/>
      <c r="AM177" s="46"/>
      <c r="AN177" s="46"/>
      <c r="AO177" s="46"/>
      <c r="AP177" s="46"/>
      <c r="AQ177" s="41"/>
    </row>
    <row r="178" spans="1:43" x14ac:dyDescent="0.3">
      <c r="A178" s="41"/>
      <c r="B178" s="232"/>
      <c r="C178" s="46"/>
      <c r="D178" s="46"/>
      <c r="E178" s="46"/>
      <c r="F178" s="46"/>
      <c r="G178" s="46"/>
      <c r="H178" s="46"/>
      <c r="I178" s="70">
        <f t="shared" ca="1" si="5"/>
        <v>125</v>
      </c>
      <c r="J178" s="46"/>
      <c r="K178" s="46"/>
      <c r="L178" s="46"/>
      <c r="M178" s="46"/>
      <c r="N178" s="46"/>
      <c r="O178" s="46"/>
      <c r="P178" s="46"/>
      <c r="Q178" s="46"/>
      <c r="R178" s="46"/>
      <c r="S178" s="46"/>
      <c r="T178" s="46"/>
      <c r="W178" s="46"/>
      <c r="X178" s="46"/>
      <c r="Y178" s="46"/>
      <c r="Z178" s="46"/>
      <c r="AB178" s="46"/>
      <c r="AC178" s="46"/>
      <c r="AD178" s="46"/>
      <c r="AE178" s="46"/>
      <c r="AF178" s="46"/>
      <c r="AG178" s="46"/>
      <c r="AH178" s="46"/>
      <c r="AI178" s="46"/>
      <c r="AJ178" s="46"/>
      <c r="AK178" s="46"/>
      <c r="AL178" s="46"/>
      <c r="AM178" s="46"/>
      <c r="AN178" s="46"/>
      <c r="AO178" s="46"/>
      <c r="AP178" s="46"/>
      <c r="AQ178" s="41"/>
    </row>
    <row r="179" spans="1:43" x14ac:dyDescent="0.3">
      <c r="A179" s="41"/>
      <c r="B179" s="232"/>
      <c r="C179" s="46"/>
      <c r="D179" s="46"/>
      <c r="E179" s="46"/>
      <c r="F179" s="46"/>
      <c r="G179" s="46"/>
      <c r="H179" s="46"/>
      <c r="I179" s="70">
        <f t="shared" ca="1" si="5"/>
        <v>125</v>
      </c>
      <c r="J179" s="46"/>
      <c r="K179" s="46"/>
      <c r="L179" s="46"/>
      <c r="M179" s="46"/>
      <c r="N179" s="46"/>
      <c r="O179" s="46"/>
      <c r="P179" s="46"/>
      <c r="Q179" s="46"/>
      <c r="R179" s="46"/>
      <c r="S179" s="46"/>
      <c r="T179" s="46"/>
      <c r="W179" s="46"/>
      <c r="X179" s="46"/>
      <c r="Y179" s="46"/>
      <c r="Z179" s="46"/>
      <c r="AB179" s="46"/>
      <c r="AC179" s="46"/>
      <c r="AD179" s="46"/>
      <c r="AE179" s="46"/>
      <c r="AF179" s="46"/>
      <c r="AG179" s="46"/>
      <c r="AH179" s="46"/>
      <c r="AI179" s="46"/>
      <c r="AJ179" s="46"/>
      <c r="AK179" s="46"/>
      <c r="AL179" s="46"/>
      <c r="AM179" s="46"/>
      <c r="AN179" s="46"/>
      <c r="AO179" s="46"/>
      <c r="AP179" s="46"/>
      <c r="AQ179" s="41"/>
    </row>
    <row r="180" spans="1:43" x14ac:dyDescent="0.3">
      <c r="A180" s="41"/>
      <c r="B180" s="232"/>
      <c r="C180" s="46"/>
      <c r="D180" s="46"/>
      <c r="E180" s="46"/>
      <c r="F180" s="46"/>
      <c r="G180" s="46"/>
      <c r="H180" s="46"/>
      <c r="I180" s="70">
        <f t="shared" ca="1" si="5"/>
        <v>125</v>
      </c>
      <c r="J180" s="46"/>
      <c r="K180" s="46"/>
      <c r="L180" s="46"/>
      <c r="M180" s="46"/>
      <c r="N180" s="46"/>
      <c r="O180" s="46"/>
      <c r="P180" s="46"/>
      <c r="Q180" s="46"/>
      <c r="R180" s="46"/>
      <c r="S180" s="46"/>
      <c r="T180" s="46"/>
      <c r="W180" s="46"/>
      <c r="X180" s="46"/>
      <c r="Y180" s="46"/>
      <c r="Z180" s="46"/>
      <c r="AB180" s="46"/>
      <c r="AC180" s="46"/>
      <c r="AD180" s="46"/>
      <c r="AE180" s="46"/>
      <c r="AF180" s="46"/>
      <c r="AG180" s="46"/>
      <c r="AH180" s="46"/>
      <c r="AI180" s="46"/>
      <c r="AJ180" s="46"/>
      <c r="AK180" s="46"/>
      <c r="AL180" s="46"/>
      <c r="AM180" s="46"/>
      <c r="AN180" s="46"/>
      <c r="AO180" s="46"/>
      <c r="AP180" s="46"/>
      <c r="AQ180" s="41"/>
    </row>
    <row r="181" spans="1:43" x14ac:dyDescent="0.3">
      <c r="A181" s="41"/>
      <c r="B181" s="232"/>
      <c r="C181" s="46"/>
      <c r="D181" s="46"/>
      <c r="E181" s="46"/>
      <c r="F181" s="46"/>
      <c r="G181" s="46"/>
      <c r="H181" s="46"/>
      <c r="I181" s="70">
        <f t="shared" ca="1" si="5"/>
        <v>125</v>
      </c>
      <c r="J181" s="46"/>
      <c r="K181" s="46"/>
      <c r="L181" s="46"/>
      <c r="M181" s="46"/>
      <c r="N181" s="46"/>
      <c r="O181" s="46"/>
      <c r="P181" s="46"/>
      <c r="Q181" s="46"/>
      <c r="R181" s="46"/>
      <c r="S181" s="46"/>
      <c r="T181" s="46"/>
      <c r="W181" s="46"/>
      <c r="X181" s="46"/>
      <c r="Y181" s="46"/>
      <c r="Z181" s="46"/>
      <c r="AB181" s="46"/>
      <c r="AC181" s="46"/>
      <c r="AD181" s="46"/>
      <c r="AE181" s="46"/>
      <c r="AF181" s="46"/>
      <c r="AG181" s="46"/>
      <c r="AH181" s="46"/>
      <c r="AI181" s="46"/>
      <c r="AJ181" s="46"/>
      <c r="AK181" s="46"/>
      <c r="AL181" s="46"/>
      <c r="AM181" s="46"/>
      <c r="AN181" s="46"/>
      <c r="AO181" s="46"/>
      <c r="AP181" s="46"/>
      <c r="AQ181" s="41"/>
    </row>
    <row r="182" spans="1:43" x14ac:dyDescent="0.3">
      <c r="A182" s="41"/>
      <c r="B182" s="232"/>
      <c r="C182" s="46"/>
      <c r="D182" s="46"/>
      <c r="E182" s="46"/>
      <c r="F182" s="46"/>
      <c r="G182" s="46"/>
      <c r="H182" s="46"/>
      <c r="I182" s="70">
        <f t="shared" ca="1" si="5"/>
        <v>125</v>
      </c>
      <c r="J182" s="46"/>
      <c r="K182" s="46"/>
      <c r="L182" s="46"/>
      <c r="M182" s="46"/>
      <c r="N182" s="46"/>
      <c r="O182" s="46"/>
      <c r="P182" s="46"/>
      <c r="Q182" s="46"/>
      <c r="R182" s="46"/>
      <c r="S182" s="46"/>
      <c r="T182" s="46"/>
      <c r="W182" s="46"/>
      <c r="X182" s="46"/>
      <c r="Y182" s="46"/>
      <c r="Z182" s="46"/>
      <c r="AB182" s="46"/>
      <c r="AC182" s="46"/>
      <c r="AD182" s="46"/>
      <c r="AE182" s="46"/>
      <c r="AF182" s="46"/>
      <c r="AG182" s="46"/>
      <c r="AH182" s="46"/>
      <c r="AI182" s="46"/>
      <c r="AJ182" s="46"/>
      <c r="AK182" s="46"/>
      <c r="AL182" s="46"/>
      <c r="AM182" s="46"/>
      <c r="AN182" s="46"/>
      <c r="AO182" s="46"/>
      <c r="AP182" s="46"/>
      <c r="AQ182" s="41"/>
    </row>
    <row r="183" spans="1:43" x14ac:dyDescent="0.3">
      <c r="A183" s="41"/>
      <c r="B183" s="232"/>
      <c r="C183" s="46"/>
      <c r="D183" s="46"/>
      <c r="E183" s="46"/>
      <c r="F183" s="46"/>
      <c r="G183" s="46"/>
      <c r="H183" s="46"/>
      <c r="I183" s="70">
        <f t="shared" ca="1" si="5"/>
        <v>125</v>
      </c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W183" s="46"/>
      <c r="X183" s="46"/>
      <c r="Y183" s="46"/>
      <c r="Z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46"/>
      <c r="AO183" s="46"/>
      <c r="AP183" s="46"/>
      <c r="AQ183" s="41"/>
    </row>
    <row r="184" spans="1:43" x14ac:dyDescent="0.3">
      <c r="A184" s="41"/>
      <c r="B184" s="232"/>
      <c r="C184" s="46"/>
      <c r="D184" s="46"/>
      <c r="E184" s="46"/>
      <c r="F184" s="46"/>
      <c r="G184" s="46"/>
      <c r="H184" s="46"/>
      <c r="I184" s="70">
        <f t="shared" ca="1" si="5"/>
        <v>125</v>
      </c>
      <c r="J184" s="46"/>
      <c r="K184" s="46"/>
      <c r="L184" s="46"/>
      <c r="M184" s="46"/>
      <c r="N184" s="46"/>
      <c r="O184" s="46"/>
      <c r="P184" s="46"/>
      <c r="Q184" s="46"/>
      <c r="R184" s="46"/>
      <c r="S184" s="46"/>
      <c r="T184" s="46"/>
      <c r="W184" s="46"/>
      <c r="X184" s="46"/>
      <c r="Y184" s="46"/>
      <c r="Z184" s="46"/>
      <c r="AB184" s="46"/>
      <c r="AC184" s="46"/>
      <c r="AD184" s="46"/>
      <c r="AE184" s="46"/>
      <c r="AF184" s="46"/>
      <c r="AG184" s="46"/>
      <c r="AH184" s="46"/>
      <c r="AI184" s="46"/>
      <c r="AJ184" s="46"/>
      <c r="AK184" s="46"/>
      <c r="AL184" s="46"/>
      <c r="AM184" s="46"/>
      <c r="AN184" s="46"/>
      <c r="AO184" s="46"/>
      <c r="AP184" s="46"/>
      <c r="AQ184" s="41"/>
    </row>
    <row r="185" spans="1:43" x14ac:dyDescent="0.3">
      <c r="A185" s="41"/>
      <c r="B185" s="232"/>
      <c r="C185" s="46"/>
      <c r="D185" s="46"/>
      <c r="E185" s="46"/>
      <c r="F185" s="46"/>
      <c r="G185" s="46"/>
      <c r="H185" s="46"/>
      <c r="I185" s="70">
        <f t="shared" ca="1" si="5"/>
        <v>125</v>
      </c>
      <c r="J185" s="46"/>
      <c r="K185" s="46"/>
      <c r="L185" s="46"/>
      <c r="M185" s="46"/>
      <c r="N185" s="46"/>
      <c r="O185" s="46"/>
      <c r="P185" s="46"/>
      <c r="Q185" s="46"/>
      <c r="R185" s="46"/>
      <c r="S185" s="46"/>
      <c r="T185" s="46"/>
      <c r="W185" s="46"/>
      <c r="X185" s="46"/>
      <c r="Y185" s="46"/>
      <c r="Z185" s="46"/>
      <c r="AB185" s="46"/>
      <c r="AC185" s="46"/>
      <c r="AD185" s="46"/>
      <c r="AE185" s="46"/>
      <c r="AF185" s="46"/>
      <c r="AG185" s="46"/>
      <c r="AH185" s="46"/>
      <c r="AI185" s="46"/>
      <c r="AJ185" s="46"/>
      <c r="AK185" s="46"/>
      <c r="AL185" s="46"/>
      <c r="AM185" s="46"/>
      <c r="AN185" s="46"/>
      <c r="AO185" s="46"/>
      <c r="AP185" s="46"/>
      <c r="AQ185" s="41"/>
    </row>
    <row r="186" spans="1:43" x14ac:dyDescent="0.3">
      <c r="B186" s="46"/>
      <c r="C186" s="46"/>
      <c r="D186" s="46"/>
      <c r="E186" s="46"/>
      <c r="F186" s="46"/>
      <c r="G186" s="46"/>
      <c r="H186" s="46"/>
      <c r="I186" s="70">
        <f t="shared" ca="1" si="5"/>
        <v>125</v>
      </c>
      <c r="J186" s="46"/>
      <c r="K186" s="46"/>
      <c r="L186" s="46"/>
      <c r="M186" s="46"/>
      <c r="N186" s="46"/>
      <c r="O186" s="46"/>
      <c r="P186" s="46"/>
      <c r="Q186" s="46"/>
      <c r="R186" s="46"/>
      <c r="S186" s="46"/>
      <c r="T186" s="46"/>
      <c r="W186" s="46"/>
      <c r="X186" s="46"/>
      <c r="Y186" s="46"/>
      <c r="Z186" s="46"/>
      <c r="AB186" s="46"/>
      <c r="AC186" s="46"/>
      <c r="AD186" s="46"/>
      <c r="AE186" s="46"/>
      <c r="AF186" s="46"/>
      <c r="AG186" s="46"/>
      <c r="AH186" s="46"/>
      <c r="AI186" s="46"/>
      <c r="AJ186" s="46"/>
      <c r="AK186" s="46"/>
      <c r="AL186" s="46"/>
      <c r="AM186" s="46"/>
      <c r="AN186" s="46"/>
      <c r="AO186" s="46"/>
      <c r="AP186" s="46"/>
      <c r="AQ186" s="41"/>
    </row>
    <row r="187" spans="1:43" x14ac:dyDescent="0.3">
      <c r="B187" s="46"/>
      <c r="C187" s="46"/>
      <c r="D187" s="46"/>
      <c r="E187" s="46"/>
      <c r="F187" s="46"/>
      <c r="G187" s="46"/>
      <c r="H187" s="46"/>
      <c r="I187" s="70">
        <f t="shared" ca="1" si="5"/>
        <v>125</v>
      </c>
      <c r="J187" s="46"/>
      <c r="K187" s="46"/>
      <c r="L187" s="46"/>
      <c r="M187" s="46"/>
      <c r="N187" s="46"/>
      <c r="O187" s="46"/>
      <c r="P187" s="46"/>
      <c r="Q187" s="46"/>
      <c r="R187" s="46"/>
      <c r="S187" s="46"/>
      <c r="T187" s="46"/>
      <c r="W187" s="46"/>
      <c r="X187" s="46"/>
      <c r="Y187" s="46"/>
      <c r="Z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1"/>
    </row>
    <row r="188" spans="1:43" x14ac:dyDescent="0.3">
      <c r="B188" s="46"/>
      <c r="C188" s="46"/>
      <c r="D188" s="46"/>
      <c r="E188" s="46"/>
      <c r="F188" s="46"/>
      <c r="G188" s="46"/>
      <c r="H188" s="46"/>
      <c r="I188" s="70">
        <f t="shared" ca="1" si="5"/>
        <v>125</v>
      </c>
      <c r="J188" s="46"/>
      <c r="K188" s="46"/>
      <c r="L188" s="46"/>
      <c r="M188" s="46"/>
      <c r="N188" s="46"/>
      <c r="O188" s="46"/>
      <c r="P188" s="46"/>
      <c r="Q188" s="46"/>
      <c r="R188" s="46"/>
      <c r="S188" s="46"/>
      <c r="T188" s="46"/>
      <c r="W188" s="46"/>
      <c r="X188" s="46"/>
      <c r="Y188" s="46"/>
      <c r="Z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1"/>
    </row>
    <row r="189" spans="1:43" x14ac:dyDescent="0.3">
      <c r="B189" s="46"/>
      <c r="C189" s="46"/>
      <c r="D189" s="46"/>
      <c r="E189" s="46"/>
      <c r="F189" s="46"/>
      <c r="G189" s="46"/>
      <c r="H189" s="46"/>
      <c r="I189" s="70">
        <f t="shared" ca="1" si="5"/>
        <v>125</v>
      </c>
      <c r="J189" s="46"/>
      <c r="K189" s="46"/>
      <c r="L189" s="46"/>
      <c r="M189" s="46"/>
      <c r="N189" s="46"/>
      <c r="O189" s="46"/>
      <c r="P189" s="46"/>
      <c r="Q189" s="46"/>
      <c r="R189" s="46"/>
      <c r="S189" s="46"/>
      <c r="T189" s="46"/>
      <c r="W189" s="46"/>
      <c r="X189" s="46"/>
      <c r="Y189" s="46"/>
      <c r="Z189" s="46"/>
      <c r="AB189" s="46"/>
      <c r="AC189" s="46"/>
      <c r="AD189" s="4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1"/>
    </row>
    <row r="190" spans="1:43" x14ac:dyDescent="0.3">
      <c r="B190" s="46"/>
      <c r="C190" s="46"/>
      <c r="D190" s="46"/>
      <c r="E190" s="46"/>
      <c r="F190" s="46"/>
      <c r="G190" s="46"/>
      <c r="H190" s="46"/>
      <c r="I190" s="70">
        <f t="shared" ca="1" si="5"/>
        <v>125</v>
      </c>
      <c r="J190" s="46"/>
      <c r="K190" s="46"/>
      <c r="L190" s="46"/>
      <c r="M190" s="46"/>
      <c r="N190" s="46"/>
      <c r="O190" s="46"/>
      <c r="P190" s="46"/>
      <c r="Q190" s="46"/>
      <c r="R190" s="46"/>
      <c r="S190" s="46"/>
      <c r="T190" s="46"/>
      <c r="W190" s="46"/>
      <c r="X190" s="46"/>
      <c r="Y190" s="46"/>
      <c r="Z190" s="46"/>
      <c r="AB190" s="46"/>
      <c r="AC190" s="46"/>
      <c r="AD190" s="4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1"/>
    </row>
    <row r="191" spans="1:43" x14ac:dyDescent="0.3">
      <c r="B191" s="46"/>
      <c r="C191" s="46"/>
      <c r="D191" s="46"/>
      <c r="E191" s="46"/>
      <c r="F191" s="46"/>
      <c r="G191" s="46"/>
      <c r="H191" s="46"/>
      <c r="I191" s="70">
        <f t="shared" ca="1" si="5"/>
        <v>125</v>
      </c>
      <c r="J191" s="46"/>
      <c r="K191" s="46"/>
      <c r="L191" s="46"/>
      <c r="M191" s="46"/>
      <c r="N191" s="46"/>
      <c r="O191" s="46"/>
      <c r="P191" s="46"/>
      <c r="Q191" s="46"/>
      <c r="R191" s="46"/>
      <c r="S191" s="46"/>
      <c r="T191" s="46"/>
      <c r="W191" s="46"/>
      <c r="X191" s="46"/>
      <c r="Y191" s="46"/>
      <c r="Z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1"/>
    </row>
    <row r="192" spans="1:43" x14ac:dyDescent="0.3">
      <c r="B192" s="46"/>
      <c r="C192" s="46"/>
      <c r="D192" s="46"/>
      <c r="E192" s="46"/>
      <c r="F192" s="46"/>
      <c r="G192" s="46"/>
      <c r="H192" s="46"/>
      <c r="I192" s="70">
        <f t="shared" ca="1" si="5"/>
        <v>125</v>
      </c>
      <c r="J192" s="46"/>
      <c r="K192" s="46"/>
      <c r="L192" s="46"/>
      <c r="M192" s="46"/>
      <c r="N192" s="46"/>
      <c r="O192" s="46"/>
      <c r="P192" s="46"/>
      <c r="Q192" s="46"/>
      <c r="R192" s="46"/>
      <c r="S192" s="46"/>
      <c r="T192" s="46"/>
      <c r="W192" s="46"/>
      <c r="X192" s="46"/>
      <c r="Y192" s="46"/>
      <c r="Z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1"/>
    </row>
    <row r="193" spans="9:43" x14ac:dyDescent="0.3">
      <c r="I193" s="70">
        <f t="shared" ca="1" si="5"/>
        <v>125</v>
      </c>
      <c r="J193" s="46"/>
      <c r="K193" s="46"/>
      <c r="L193" s="46"/>
      <c r="M193" s="46"/>
      <c r="N193" s="46"/>
      <c r="O193" s="46"/>
      <c r="P193" s="46"/>
      <c r="Q193" s="46"/>
      <c r="R193" s="46"/>
      <c r="S193" s="46"/>
      <c r="T193" s="46"/>
      <c r="W193" s="46"/>
      <c r="X193" s="46"/>
      <c r="Y193" s="46"/>
      <c r="Z193" s="46"/>
      <c r="AB193" s="46"/>
      <c r="AC193" s="46"/>
      <c r="AD193" s="4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1"/>
    </row>
    <row r="194" spans="9:43" x14ac:dyDescent="0.3">
      <c r="I194" s="70">
        <f t="shared" ca="1" si="5"/>
        <v>125</v>
      </c>
      <c r="J194" s="46"/>
      <c r="K194" s="46"/>
      <c r="L194" s="46"/>
      <c r="M194" s="46"/>
      <c r="N194" s="46"/>
      <c r="O194" s="46"/>
      <c r="P194" s="46"/>
      <c r="Q194" s="46"/>
      <c r="R194" s="46"/>
      <c r="S194" s="46"/>
      <c r="T194" s="46"/>
      <c r="W194" s="46"/>
      <c r="X194" s="46"/>
      <c r="Y194" s="46"/>
      <c r="Z194" s="46"/>
      <c r="AB194" s="46"/>
      <c r="AC194" s="46"/>
      <c r="AD194" s="46"/>
      <c r="AE194" s="46"/>
      <c r="AF194" s="46"/>
      <c r="AG194" s="46"/>
      <c r="AH194" s="46"/>
      <c r="AI194" s="46"/>
      <c r="AJ194" s="46"/>
      <c r="AK194" s="46"/>
      <c r="AL194" s="46"/>
      <c r="AM194" s="46"/>
      <c r="AN194" s="46"/>
      <c r="AO194" s="46"/>
      <c r="AP194" s="46"/>
      <c r="AQ194" s="41"/>
    </row>
    <row r="195" spans="9:43" x14ac:dyDescent="0.3">
      <c r="I195" s="70">
        <f t="shared" ca="1" si="5"/>
        <v>125</v>
      </c>
      <c r="J195" s="46"/>
      <c r="K195" s="46"/>
      <c r="L195" s="46"/>
      <c r="M195" s="46"/>
      <c r="N195" s="46"/>
      <c r="O195" s="46"/>
      <c r="P195" s="46"/>
      <c r="Q195" s="46"/>
      <c r="R195" s="46"/>
      <c r="S195" s="46"/>
      <c r="T195" s="46"/>
      <c r="W195" s="46"/>
      <c r="X195" s="46"/>
      <c r="Y195" s="46"/>
      <c r="Z195" s="46"/>
      <c r="AB195" s="46"/>
      <c r="AC195" s="46"/>
      <c r="AD195" s="46"/>
      <c r="AE195" s="46"/>
      <c r="AF195" s="46"/>
      <c r="AG195" s="46"/>
      <c r="AH195" s="46"/>
      <c r="AI195" s="46"/>
      <c r="AJ195" s="46"/>
      <c r="AK195" s="46"/>
      <c r="AL195" s="46"/>
      <c r="AM195" s="46"/>
      <c r="AN195" s="46"/>
      <c r="AO195" s="46"/>
      <c r="AP195" s="46"/>
      <c r="AQ195" s="41"/>
    </row>
    <row r="196" spans="9:43" x14ac:dyDescent="0.3">
      <c r="I196" s="70">
        <f t="shared" ca="1" si="5"/>
        <v>125</v>
      </c>
      <c r="J196" s="46"/>
      <c r="K196" s="46"/>
      <c r="L196" s="46"/>
      <c r="M196" s="46"/>
      <c r="N196" s="46"/>
      <c r="O196" s="46"/>
      <c r="P196" s="46"/>
      <c r="Q196" s="46"/>
      <c r="R196" s="46"/>
      <c r="S196" s="46"/>
      <c r="T196" s="46"/>
      <c r="W196" s="46"/>
      <c r="X196" s="46"/>
      <c r="Y196" s="46"/>
      <c r="Z196" s="46"/>
      <c r="AB196" s="46"/>
      <c r="AC196" s="46"/>
      <c r="AD196" s="46"/>
      <c r="AE196" s="46"/>
      <c r="AF196" s="46"/>
      <c r="AG196" s="46"/>
      <c r="AH196" s="46"/>
      <c r="AI196" s="46"/>
      <c r="AJ196" s="46"/>
      <c r="AK196" s="46"/>
      <c r="AL196" s="46"/>
      <c r="AM196" s="46"/>
      <c r="AN196" s="46"/>
      <c r="AO196" s="46"/>
      <c r="AP196" s="46"/>
      <c r="AQ196" s="41"/>
    </row>
    <row r="197" spans="9:43" x14ac:dyDescent="0.3">
      <c r="I197" s="70">
        <f t="shared" ca="1" si="5"/>
        <v>125</v>
      </c>
      <c r="J197" s="46"/>
      <c r="K197" s="46"/>
      <c r="L197" s="46"/>
      <c r="M197" s="46"/>
      <c r="N197" s="46"/>
      <c r="O197" s="46"/>
      <c r="P197" s="46"/>
      <c r="Q197" s="46"/>
      <c r="R197" s="46"/>
      <c r="S197" s="46"/>
      <c r="T197" s="46"/>
      <c r="W197" s="46"/>
      <c r="X197" s="46"/>
      <c r="Y197" s="46"/>
      <c r="Z197" s="46"/>
      <c r="AB197" s="46"/>
      <c r="AC197" s="46"/>
      <c r="AD197" s="46"/>
      <c r="AE197" s="46"/>
      <c r="AF197" s="46"/>
      <c r="AG197" s="46"/>
      <c r="AH197" s="46"/>
      <c r="AI197" s="46"/>
      <c r="AJ197" s="46"/>
      <c r="AK197" s="46"/>
      <c r="AL197" s="46"/>
      <c r="AM197" s="46"/>
      <c r="AN197" s="46"/>
      <c r="AO197" s="46"/>
      <c r="AP197" s="46"/>
      <c r="AQ197" s="41"/>
    </row>
    <row r="198" spans="9:43" x14ac:dyDescent="0.3">
      <c r="I198" s="70">
        <f t="shared" ca="1" si="5"/>
        <v>125</v>
      </c>
      <c r="J198" s="46"/>
      <c r="K198" s="46"/>
      <c r="L198" s="46"/>
      <c r="M198" s="46"/>
      <c r="N198" s="46"/>
      <c r="O198" s="46"/>
      <c r="P198" s="46"/>
      <c r="Q198" s="46"/>
      <c r="R198" s="46"/>
      <c r="S198" s="46"/>
      <c r="T198" s="46"/>
      <c r="W198" s="46"/>
      <c r="X198" s="46"/>
      <c r="Y198" s="46"/>
      <c r="Z198" s="46"/>
      <c r="AB198" s="46"/>
      <c r="AC198" s="46"/>
      <c r="AD198" s="46"/>
      <c r="AE198" s="46"/>
      <c r="AF198" s="46"/>
      <c r="AG198" s="46"/>
      <c r="AH198" s="46"/>
      <c r="AI198" s="46"/>
      <c r="AJ198" s="46"/>
      <c r="AK198" s="46"/>
      <c r="AL198" s="46"/>
      <c r="AM198" s="46"/>
      <c r="AN198" s="46"/>
      <c r="AO198" s="46"/>
      <c r="AP198" s="46"/>
      <c r="AQ198" s="41"/>
    </row>
    <row r="199" spans="9:43" x14ac:dyDescent="0.3">
      <c r="I199" s="70">
        <f t="shared" ca="1" si="5"/>
        <v>125</v>
      </c>
      <c r="J199" s="46"/>
      <c r="K199" s="46"/>
      <c r="L199" s="46"/>
      <c r="M199" s="46"/>
      <c r="N199" s="46"/>
      <c r="O199" s="46"/>
      <c r="P199" s="46"/>
      <c r="Q199" s="46"/>
      <c r="R199" s="46"/>
      <c r="S199" s="46"/>
      <c r="T199" s="46"/>
      <c r="W199" s="46"/>
      <c r="X199" s="46"/>
      <c r="Y199" s="46"/>
      <c r="Z199" s="46"/>
      <c r="AB199" s="46"/>
      <c r="AC199" s="46"/>
      <c r="AD199" s="46"/>
      <c r="AE199" s="46"/>
      <c r="AF199" s="46"/>
      <c r="AG199" s="46"/>
      <c r="AH199" s="46"/>
      <c r="AI199" s="46"/>
      <c r="AJ199" s="46"/>
      <c r="AK199" s="46"/>
      <c r="AL199" s="46"/>
      <c r="AM199" s="46"/>
      <c r="AN199" s="46"/>
      <c r="AO199" s="46"/>
      <c r="AP199" s="46"/>
      <c r="AQ199" s="41"/>
    </row>
    <row r="200" spans="9:43" x14ac:dyDescent="0.3">
      <c r="I200" s="70">
        <f t="shared" ca="1" si="5"/>
        <v>125</v>
      </c>
      <c r="J200" s="46"/>
      <c r="K200" s="46"/>
      <c r="L200" s="46"/>
      <c r="M200" s="46"/>
      <c r="N200" s="46"/>
      <c r="O200" s="46"/>
      <c r="P200" s="46"/>
      <c r="Q200" s="46"/>
      <c r="R200" s="46"/>
      <c r="S200" s="46"/>
      <c r="T200" s="46"/>
      <c r="W200" s="46"/>
      <c r="X200" s="46"/>
      <c r="Y200" s="46"/>
      <c r="Z200" s="46"/>
      <c r="AB200" s="46"/>
      <c r="AC200" s="46"/>
      <c r="AD200" s="46"/>
      <c r="AE200" s="46"/>
      <c r="AF200" s="46"/>
      <c r="AG200" s="46"/>
      <c r="AH200" s="46"/>
      <c r="AI200" s="46"/>
      <c r="AJ200" s="46"/>
      <c r="AK200" s="46"/>
      <c r="AL200" s="46"/>
      <c r="AM200" s="46"/>
      <c r="AN200" s="46"/>
      <c r="AO200" s="46"/>
      <c r="AP200" s="46"/>
      <c r="AQ200" s="41"/>
    </row>
    <row r="201" spans="9:43" x14ac:dyDescent="0.3">
      <c r="I201" s="70">
        <f t="shared" ca="1" si="5"/>
        <v>125</v>
      </c>
      <c r="J201" s="46"/>
      <c r="K201" s="46"/>
      <c r="L201" s="46"/>
      <c r="M201" s="46"/>
      <c r="N201" s="46"/>
      <c r="O201" s="46"/>
      <c r="P201" s="46"/>
      <c r="Q201" s="46"/>
      <c r="R201" s="46"/>
      <c r="S201" s="46"/>
      <c r="T201" s="46"/>
      <c r="W201" s="46"/>
      <c r="X201" s="46"/>
      <c r="Y201" s="46"/>
      <c r="Z201" s="46"/>
      <c r="AB201" s="46"/>
      <c r="AC201" s="46"/>
      <c r="AD201" s="46"/>
      <c r="AE201" s="46"/>
      <c r="AF201" s="46"/>
      <c r="AG201" s="46"/>
      <c r="AH201" s="46"/>
      <c r="AI201" s="46"/>
      <c r="AJ201" s="46"/>
      <c r="AK201" s="46"/>
      <c r="AL201" s="46"/>
      <c r="AM201" s="46"/>
      <c r="AN201" s="46"/>
      <c r="AO201" s="46"/>
      <c r="AP201" s="46"/>
      <c r="AQ201" s="41"/>
    </row>
    <row r="202" spans="9:43" x14ac:dyDescent="0.3">
      <c r="I202" s="70">
        <f t="shared" ca="1" si="5"/>
        <v>125</v>
      </c>
      <c r="J202" s="46"/>
      <c r="K202" s="46"/>
      <c r="L202" s="46"/>
      <c r="M202" s="46"/>
      <c r="N202" s="46"/>
      <c r="O202" s="46"/>
      <c r="P202" s="46"/>
      <c r="Q202" s="46"/>
      <c r="R202" s="46"/>
      <c r="S202" s="46"/>
      <c r="T202" s="46"/>
      <c r="W202" s="46"/>
      <c r="X202" s="46"/>
      <c r="Y202" s="46"/>
      <c r="Z202" s="46"/>
      <c r="AB202" s="46"/>
      <c r="AC202" s="46"/>
      <c r="AD202" s="46"/>
      <c r="AE202" s="46"/>
      <c r="AF202" s="46"/>
      <c r="AG202" s="46"/>
      <c r="AH202" s="46"/>
      <c r="AI202" s="46"/>
      <c r="AJ202" s="46"/>
      <c r="AK202" s="46"/>
      <c r="AL202" s="46"/>
      <c r="AM202" s="46"/>
      <c r="AN202" s="46"/>
      <c r="AO202" s="46"/>
      <c r="AP202" s="46"/>
      <c r="AQ202" s="41"/>
    </row>
    <row r="203" spans="9:43" x14ac:dyDescent="0.3">
      <c r="I203" s="70">
        <f t="shared" ca="1" si="5"/>
        <v>125</v>
      </c>
      <c r="J203" s="46"/>
      <c r="K203" s="46"/>
      <c r="L203" s="46"/>
      <c r="M203" s="46"/>
      <c r="N203" s="46"/>
      <c r="O203" s="46"/>
      <c r="P203" s="46"/>
      <c r="Q203" s="46"/>
      <c r="R203" s="46"/>
      <c r="S203" s="46"/>
      <c r="T203" s="46"/>
      <c r="W203" s="46"/>
      <c r="X203" s="46"/>
      <c r="Y203" s="46"/>
      <c r="Z203" s="46"/>
      <c r="AB203" s="46"/>
      <c r="AC203" s="46"/>
      <c r="AD203" s="46"/>
      <c r="AE203" s="46"/>
      <c r="AF203" s="46"/>
      <c r="AG203" s="46"/>
      <c r="AH203" s="46"/>
      <c r="AI203" s="46"/>
      <c r="AJ203" s="46"/>
      <c r="AK203" s="46"/>
      <c r="AL203" s="46"/>
      <c r="AM203" s="46"/>
      <c r="AN203" s="46"/>
      <c r="AO203" s="46"/>
      <c r="AP203" s="46"/>
      <c r="AQ203" s="41"/>
    </row>
    <row r="204" spans="9:43" x14ac:dyDescent="0.3">
      <c r="I204" s="70">
        <f t="shared" ca="1" si="5"/>
        <v>125</v>
      </c>
      <c r="J204" s="46"/>
      <c r="K204" s="46"/>
      <c r="L204" s="46"/>
      <c r="M204" s="46"/>
      <c r="N204" s="46"/>
      <c r="O204" s="46"/>
      <c r="P204" s="46"/>
      <c r="Q204" s="46"/>
      <c r="R204" s="46"/>
      <c r="S204" s="46"/>
      <c r="T204" s="46"/>
      <c r="W204" s="46"/>
      <c r="X204" s="46"/>
      <c r="Y204" s="46"/>
      <c r="Z204" s="46"/>
      <c r="AB204" s="46"/>
      <c r="AC204" s="46"/>
      <c r="AD204" s="46"/>
      <c r="AE204" s="46"/>
      <c r="AF204" s="46"/>
      <c r="AG204" s="46"/>
      <c r="AH204" s="46"/>
      <c r="AI204" s="46"/>
      <c r="AJ204" s="46"/>
      <c r="AK204" s="46"/>
      <c r="AL204" s="46"/>
      <c r="AM204" s="46"/>
      <c r="AN204" s="46"/>
      <c r="AO204" s="46"/>
      <c r="AP204" s="46"/>
      <c r="AQ204" s="41"/>
    </row>
    <row r="205" spans="9:43" x14ac:dyDescent="0.3">
      <c r="I205" s="70">
        <f t="shared" ca="1" si="5"/>
        <v>125</v>
      </c>
      <c r="J205" s="46"/>
      <c r="K205" s="46"/>
      <c r="L205" s="46"/>
      <c r="M205" s="46"/>
      <c r="N205" s="46"/>
      <c r="O205" s="46"/>
      <c r="P205" s="46"/>
      <c r="Q205" s="46"/>
      <c r="R205" s="46"/>
      <c r="S205" s="46"/>
      <c r="T205" s="46"/>
      <c r="W205" s="46"/>
      <c r="X205" s="46"/>
      <c r="Y205" s="46"/>
      <c r="Z205" s="46"/>
      <c r="AB205" s="46"/>
      <c r="AC205" s="46"/>
      <c r="AD205" s="46"/>
      <c r="AE205" s="46"/>
      <c r="AF205" s="46"/>
      <c r="AG205" s="46"/>
      <c r="AH205" s="46"/>
      <c r="AI205" s="46"/>
      <c r="AJ205" s="46"/>
      <c r="AK205" s="46"/>
      <c r="AL205" s="46"/>
      <c r="AM205" s="46"/>
      <c r="AN205" s="46"/>
      <c r="AO205" s="46"/>
      <c r="AP205" s="46"/>
      <c r="AQ205" s="41"/>
    </row>
    <row r="206" spans="9:43" x14ac:dyDescent="0.3">
      <c r="I206" s="70">
        <f t="shared" ca="1" si="5"/>
        <v>125</v>
      </c>
      <c r="J206" s="46"/>
      <c r="K206" s="46"/>
      <c r="L206" s="46"/>
      <c r="M206" s="46"/>
      <c r="N206" s="46"/>
      <c r="O206" s="46"/>
      <c r="P206" s="46"/>
      <c r="Q206" s="46"/>
      <c r="R206" s="46"/>
      <c r="S206" s="46"/>
      <c r="T206" s="46"/>
      <c r="W206" s="46"/>
      <c r="X206" s="46"/>
      <c r="Y206" s="46"/>
      <c r="Z206" s="46"/>
      <c r="AB206" s="46"/>
      <c r="AC206" s="46"/>
      <c r="AD206" s="46"/>
      <c r="AE206" s="46"/>
      <c r="AF206" s="46"/>
      <c r="AG206" s="46"/>
      <c r="AH206" s="46"/>
      <c r="AI206" s="46"/>
      <c r="AJ206" s="46"/>
      <c r="AK206" s="46"/>
      <c r="AL206" s="46"/>
      <c r="AM206" s="46"/>
      <c r="AN206" s="46"/>
      <c r="AO206" s="46"/>
      <c r="AP206" s="46"/>
      <c r="AQ206" s="41"/>
    </row>
    <row r="207" spans="9:43" x14ac:dyDescent="0.3">
      <c r="I207" s="70">
        <f t="shared" ca="1" si="5"/>
        <v>125</v>
      </c>
      <c r="J207" s="46"/>
      <c r="K207" s="46"/>
      <c r="L207" s="46"/>
      <c r="M207" s="46"/>
      <c r="N207" s="46"/>
      <c r="O207" s="46"/>
      <c r="P207" s="46"/>
      <c r="Q207" s="46"/>
      <c r="R207" s="46"/>
      <c r="S207" s="46"/>
      <c r="T207" s="46"/>
      <c r="W207" s="46"/>
      <c r="X207" s="46"/>
      <c r="Y207" s="46"/>
      <c r="Z207" s="46"/>
      <c r="AB207" s="46"/>
      <c r="AC207" s="46"/>
      <c r="AD207" s="46"/>
      <c r="AE207" s="46"/>
      <c r="AF207" s="46"/>
      <c r="AG207" s="46"/>
      <c r="AH207" s="46"/>
      <c r="AI207" s="46"/>
      <c r="AJ207" s="46"/>
      <c r="AK207" s="46"/>
      <c r="AL207" s="46"/>
      <c r="AM207" s="46"/>
      <c r="AN207" s="46"/>
      <c r="AO207" s="46"/>
      <c r="AP207" s="46"/>
      <c r="AQ207" s="41"/>
    </row>
    <row r="208" spans="9:43" x14ac:dyDescent="0.3">
      <c r="I208" s="70">
        <f t="shared" ca="1" si="5"/>
        <v>125</v>
      </c>
      <c r="J208" s="46"/>
      <c r="K208" s="46"/>
      <c r="L208" s="46"/>
      <c r="M208" s="46"/>
      <c r="N208" s="46"/>
      <c r="O208" s="46"/>
      <c r="P208" s="46"/>
      <c r="Q208" s="46"/>
      <c r="R208" s="46"/>
      <c r="S208" s="46"/>
      <c r="T208" s="46"/>
      <c r="W208" s="46"/>
      <c r="X208" s="46"/>
      <c r="Y208" s="46"/>
      <c r="Z208" s="46"/>
      <c r="AB208" s="46"/>
      <c r="AC208" s="46"/>
      <c r="AD208" s="46"/>
      <c r="AE208" s="46"/>
      <c r="AF208" s="46"/>
      <c r="AG208" s="46"/>
      <c r="AH208" s="46"/>
      <c r="AI208" s="46"/>
      <c r="AJ208" s="46"/>
      <c r="AK208" s="46"/>
      <c r="AL208" s="46"/>
      <c r="AM208" s="46"/>
      <c r="AN208" s="46"/>
      <c r="AO208" s="46"/>
      <c r="AP208" s="46"/>
      <c r="AQ208" s="41"/>
    </row>
    <row r="209" spans="9:43" x14ac:dyDescent="0.3">
      <c r="I209" s="70">
        <f t="shared" ca="1" si="5"/>
        <v>125</v>
      </c>
      <c r="J209" s="46"/>
      <c r="K209" s="46"/>
      <c r="L209" s="46"/>
      <c r="M209" s="46"/>
      <c r="N209" s="46"/>
      <c r="O209" s="46"/>
      <c r="P209" s="46"/>
      <c r="Q209" s="46"/>
      <c r="R209" s="46"/>
      <c r="S209" s="46"/>
      <c r="T209" s="46"/>
      <c r="W209" s="46"/>
      <c r="X209" s="46"/>
      <c r="Y209" s="46"/>
      <c r="Z209" s="46"/>
      <c r="AB209" s="46"/>
      <c r="AC209" s="46"/>
      <c r="AD209" s="46"/>
      <c r="AE209" s="46"/>
      <c r="AF209" s="46"/>
      <c r="AG209" s="46"/>
      <c r="AH209" s="46"/>
      <c r="AI209" s="46"/>
      <c r="AJ209" s="46"/>
      <c r="AK209" s="46"/>
      <c r="AL209" s="46"/>
      <c r="AM209" s="46"/>
      <c r="AN209" s="46"/>
      <c r="AO209" s="46"/>
      <c r="AP209" s="46"/>
      <c r="AQ209" s="41"/>
    </row>
    <row r="210" spans="9:43" x14ac:dyDescent="0.3">
      <c r="I210" s="70">
        <f t="shared" ref="I210:I273" ca="1" si="6">INT((TODAY()-H210)/365.25)</f>
        <v>125</v>
      </c>
      <c r="J210" s="46"/>
      <c r="K210" s="46"/>
      <c r="L210" s="46"/>
      <c r="M210" s="46"/>
      <c r="N210" s="46"/>
      <c r="O210" s="46"/>
      <c r="P210" s="46"/>
      <c r="Q210" s="46"/>
      <c r="R210" s="46"/>
      <c r="S210" s="46"/>
      <c r="T210" s="46"/>
      <c r="W210" s="46"/>
      <c r="X210" s="46"/>
      <c r="Y210" s="46"/>
      <c r="Z210" s="46"/>
      <c r="AB210" s="46"/>
      <c r="AC210" s="46"/>
      <c r="AD210" s="46"/>
      <c r="AE210" s="46"/>
      <c r="AF210" s="46"/>
      <c r="AG210" s="46"/>
      <c r="AH210" s="46"/>
      <c r="AI210" s="46"/>
      <c r="AJ210" s="46"/>
      <c r="AK210" s="46"/>
      <c r="AL210" s="46"/>
      <c r="AM210" s="46"/>
      <c r="AN210" s="46"/>
      <c r="AO210" s="46"/>
      <c r="AP210" s="46"/>
      <c r="AQ210" s="41"/>
    </row>
    <row r="211" spans="9:43" x14ac:dyDescent="0.3">
      <c r="I211" s="70">
        <f t="shared" ca="1" si="6"/>
        <v>125</v>
      </c>
      <c r="J211" s="46"/>
      <c r="K211" s="46"/>
      <c r="L211" s="46"/>
      <c r="M211" s="46"/>
      <c r="N211" s="46"/>
      <c r="O211" s="46"/>
      <c r="P211" s="46"/>
      <c r="Q211" s="46"/>
      <c r="R211" s="46"/>
      <c r="S211" s="46"/>
      <c r="T211" s="46"/>
      <c r="W211" s="46"/>
      <c r="X211" s="46"/>
      <c r="Y211" s="46"/>
      <c r="Z211" s="46"/>
      <c r="AB211" s="46"/>
      <c r="AC211" s="46"/>
      <c r="AD211" s="46"/>
      <c r="AE211" s="46"/>
      <c r="AF211" s="46"/>
      <c r="AG211" s="46"/>
      <c r="AH211" s="46"/>
      <c r="AI211" s="46"/>
      <c r="AJ211" s="46"/>
      <c r="AK211" s="46"/>
      <c r="AL211" s="46"/>
      <c r="AM211" s="46"/>
      <c r="AN211" s="46"/>
      <c r="AO211" s="46"/>
      <c r="AP211" s="46"/>
      <c r="AQ211" s="41"/>
    </row>
    <row r="212" spans="9:43" x14ac:dyDescent="0.3">
      <c r="I212" s="70">
        <f t="shared" ca="1" si="6"/>
        <v>125</v>
      </c>
      <c r="J212" s="46"/>
      <c r="K212" s="46"/>
      <c r="L212" s="46"/>
      <c r="M212" s="46"/>
      <c r="N212" s="46"/>
      <c r="O212" s="46"/>
      <c r="P212" s="46"/>
      <c r="Q212" s="46"/>
      <c r="R212" s="46"/>
      <c r="S212" s="46"/>
      <c r="T212" s="46"/>
      <c r="W212" s="46"/>
      <c r="X212" s="46"/>
      <c r="Y212" s="46"/>
      <c r="Z212" s="46"/>
      <c r="AB212" s="46"/>
      <c r="AC212" s="46"/>
      <c r="AD212" s="46"/>
      <c r="AE212" s="46"/>
      <c r="AF212" s="46"/>
      <c r="AG212" s="46"/>
      <c r="AH212" s="46"/>
      <c r="AI212" s="46"/>
      <c r="AJ212" s="46"/>
      <c r="AK212" s="46"/>
      <c r="AL212" s="46"/>
      <c r="AM212" s="46"/>
      <c r="AN212" s="46"/>
      <c r="AO212" s="46"/>
      <c r="AP212" s="46"/>
      <c r="AQ212" s="41"/>
    </row>
    <row r="213" spans="9:43" x14ac:dyDescent="0.3">
      <c r="I213" s="70">
        <f t="shared" ca="1" si="6"/>
        <v>125</v>
      </c>
      <c r="J213" s="46"/>
      <c r="K213" s="46"/>
      <c r="L213" s="46"/>
      <c r="M213" s="46"/>
      <c r="N213" s="46"/>
      <c r="O213" s="46"/>
      <c r="P213" s="46"/>
      <c r="Q213" s="46"/>
      <c r="R213" s="46"/>
      <c r="S213" s="46"/>
      <c r="T213" s="46"/>
      <c r="W213" s="46"/>
      <c r="X213" s="46"/>
      <c r="Y213" s="46"/>
      <c r="Z213" s="46"/>
      <c r="AB213" s="46"/>
      <c r="AC213" s="46"/>
      <c r="AD213" s="46"/>
      <c r="AE213" s="46"/>
      <c r="AF213" s="46"/>
      <c r="AG213" s="46"/>
      <c r="AH213" s="46"/>
      <c r="AI213" s="46"/>
      <c r="AJ213" s="46"/>
      <c r="AK213" s="46"/>
      <c r="AL213" s="46"/>
      <c r="AM213" s="46"/>
      <c r="AN213" s="46"/>
      <c r="AO213" s="46"/>
      <c r="AP213" s="46"/>
      <c r="AQ213" s="41"/>
    </row>
    <row r="214" spans="9:43" x14ac:dyDescent="0.3">
      <c r="I214" s="70">
        <f t="shared" ca="1" si="6"/>
        <v>125</v>
      </c>
      <c r="J214" s="46"/>
      <c r="K214" s="46"/>
      <c r="L214" s="46"/>
      <c r="M214" s="46"/>
      <c r="N214" s="46"/>
      <c r="O214" s="46"/>
      <c r="P214" s="46"/>
      <c r="Q214" s="46"/>
      <c r="R214" s="46"/>
      <c r="S214" s="46"/>
      <c r="T214" s="46"/>
      <c r="W214" s="46"/>
      <c r="X214" s="46"/>
      <c r="Y214" s="46"/>
      <c r="Z214" s="46"/>
      <c r="AB214" s="46"/>
      <c r="AC214" s="46"/>
      <c r="AD214" s="46"/>
      <c r="AE214" s="46"/>
      <c r="AF214" s="46"/>
      <c r="AG214" s="46"/>
      <c r="AH214" s="46"/>
      <c r="AI214" s="46"/>
      <c r="AJ214" s="46"/>
      <c r="AK214" s="46"/>
      <c r="AL214" s="46"/>
      <c r="AM214" s="46"/>
      <c r="AN214" s="46"/>
      <c r="AO214" s="46"/>
      <c r="AP214" s="46"/>
      <c r="AQ214" s="41"/>
    </row>
    <row r="215" spans="9:43" x14ac:dyDescent="0.3">
      <c r="I215" s="70">
        <f t="shared" ca="1" si="6"/>
        <v>125</v>
      </c>
      <c r="J215" s="46"/>
      <c r="K215" s="46"/>
      <c r="L215" s="46"/>
      <c r="M215" s="46"/>
      <c r="N215" s="46"/>
      <c r="O215" s="46"/>
      <c r="P215" s="46"/>
      <c r="Q215" s="46"/>
      <c r="R215" s="46"/>
      <c r="S215" s="46"/>
      <c r="T215" s="46"/>
      <c r="W215" s="46"/>
      <c r="X215" s="46"/>
      <c r="Y215" s="46"/>
      <c r="Z215" s="46"/>
      <c r="AB215" s="46"/>
      <c r="AC215" s="46"/>
      <c r="AD215" s="46"/>
      <c r="AE215" s="46"/>
      <c r="AF215" s="46"/>
      <c r="AG215" s="46"/>
      <c r="AH215" s="46"/>
      <c r="AI215" s="46"/>
      <c r="AJ215" s="46"/>
      <c r="AK215" s="46"/>
      <c r="AL215" s="46"/>
      <c r="AM215" s="46"/>
      <c r="AN215" s="46"/>
      <c r="AO215" s="46"/>
      <c r="AP215" s="46"/>
      <c r="AQ215" s="41"/>
    </row>
    <row r="216" spans="9:43" x14ac:dyDescent="0.3">
      <c r="I216" s="70">
        <f t="shared" ca="1" si="6"/>
        <v>125</v>
      </c>
      <c r="J216" s="46"/>
      <c r="K216" s="46"/>
      <c r="L216" s="46"/>
      <c r="M216" s="46"/>
      <c r="N216" s="46"/>
      <c r="O216" s="46"/>
      <c r="P216" s="46"/>
      <c r="Q216" s="46"/>
      <c r="R216" s="46"/>
      <c r="S216" s="46"/>
      <c r="T216" s="46"/>
      <c r="W216" s="46"/>
      <c r="X216" s="46"/>
      <c r="Y216" s="46"/>
      <c r="Z216" s="46"/>
      <c r="AB216" s="46"/>
      <c r="AC216" s="46"/>
      <c r="AD216" s="46"/>
      <c r="AE216" s="46"/>
      <c r="AF216" s="46"/>
      <c r="AG216" s="46"/>
      <c r="AH216" s="46"/>
      <c r="AI216" s="46"/>
      <c r="AJ216" s="46"/>
      <c r="AK216" s="46"/>
      <c r="AL216" s="46"/>
      <c r="AM216" s="46"/>
      <c r="AN216" s="46"/>
      <c r="AO216" s="46"/>
      <c r="AP216" s="46"/>
      <c r="AQ216" s="41"/>
    </row>
    <row r="217" spans="9:43" x14ac:dyDescent="0.3">
      <c r="I217" s="70">
        <f t="shared" ca="1" si="6"/>
        <v>125</v>
      </c>
      <c r="J217" s="46"/>
      <c r="K217" s="46"/>
      <c r="L217" s="46"/>
      <c r="M217" s="46"/>
      <c r="N217" s="46"/>
      <c r="O217" s="46"/>
      <c r="P217" s="46"/>
      <c r="Q217" s="46"/>
      <c r="R217" s="46"/>
      <c r="S217" s="46"/>
      <c r="T217" s="46"/>
      <c r="W217" s="46"/>
      <c r="X217" s="46"/>
      <c r="Y217" s="46"/>
      <c r="Z217" s="46"/>
      <c r="AB217" s="46"/>
      <c r="AC217" s="46"/>
      <c r="AD217" s="46"/>
      <c r="AE217" s="46"/>
      <c r="AF217" s="46"/>
      <c r="AG217" s="46"/>
      <c r="AH217" s="46"/>
      <c r="AI217" s="46"/>
      <c r="AJ217" s="46"/>
      <c r="AK217" s="46"/>
      <c r="AL217" s="46"/>
      <c r="AM217" s="46"/>
      <c r="AN217" s="46"/>
      <c r="AO217" s="46"/>
      <c r="AP217" s="46"/>
      <c r="AQ217" s="41"/>
    </row>
    <row r="218" spans="9:43" x14ac:dyDescent="0.3">
      <c r="I218" s="70">
        <f t="shared" ca="1" si="6"/>
        <v>125</v>
      </c>
      <c r="J218" s="46"/>
      <c r="K218" s="46"/>
      <c r="L218" s="46"/>
      <c r="M218" s="46"/>
      <c r="N218" s="46"/>
      <c r="O218" s="46"/>
      <c r="P218" s="46"/>
      <c r="Q218" s="46"/>
      <c r="R218" s="46"/>
      <c r="S218" s="46"/>
      <c r="T218" s="46"/>
      <c r="W218" s="46"/>
      <c r="X218" s="46"/>
      <c r="Y218" s="46"/>
      <c r="Z218" s="46"/>
      <c r="AB218" s="46"/>
      <c r="AC218" s="46"/>
      <c r="AD218" s="46"/>
      <c r="AE218" s="46"/>
      <c r="AF218" s="46"/>
      <c r="AG218" s="46"/>
      <c r="AH218" s="46"/>
      <c r="AI218" s="46"/>
      <c r="AJ218" s="46"/>
      <c r="AK218" s="46"/>
      <c r="AL218" s="46"/>
      <c r="AM218" s="46"/>
      <c r="AN218" s="46"/>
      <c r="AO218" s="46"/>
      <c r="AP218" s="46"/>
      <c r="AQ218" s="41"/>
    </row>
    <row r="219" spans="9:43" x14ac:dyDescent="0.3">
      <c r="I219" s="70">
        <f t="shared" ca="1" si="6"/>
        <v>125</v>
      </c>
      <c r="J219" s="46"/>
      <c r="K219" s="46"/>
      <c r="L219" s="46"/>
      <c r="M219" s="46"/>
      <c r="N219" s="46"/>
      <c r="O219" s="46"/>
      <c r="P219" s="46"/>
      <c r="Q219" s="46"/>
      <c r="R219" s="46"/>
      <c r="S219" s="46"/>
      <c r="T219" s="46"/>
      <c r="W219" s="46"/>
      <c r="X219" s="46"/>
      <c r="Y219" s="46"/>
      <c r="Z219" s="46"/>
      <c r="AB219" s="46"/>
      <c r="AC219" s="46"/>
      <c r="AD219" s="46"/>
      <c r="AE219" s="46"/>
      <c r="AF219" s="46"/>
      <c r="AG219" s="46"/>
      <c r="AH219" s="46"/>
      <c r="AI219" s="46"/>
      <c r="AJ219" s="46"/>
      <c r="AK219" s="46"/>
      <c r="AL219" s="46"/>
      <c r="AM219" s="46"/>
      <c r="AN219" s="46"/>
      <c r="AO219" s="46"/>
      <c r="AP219" s="46"/>
      <c r="AQ219" s="41"/>
    </row>
    <row r="220" spans="9:43" x14ac:dyDescent="0.3">
      <c r="I220" s="70">
        <f t="shared" ca="1" si="6"/>
        <v>125</v>
      </c>
      <c r="J220" s="46"/>
      <c r="K220" s="46"/>
      <c r="L220" s="46"/>
      <c r="M220" s="46"/>
      <c r="N220" s="46"/>
      <c r="O220" s="46"/>
      <c r="P220" s="46"/>
      <c r="Q220" s="46"/>
      <c r="R220" s="46"/>
      <c r="S220" s="46"/>
      <c r="T220" s="46"/>
      <c r="W220" s="46"/>
      <c r="X220" s="46"/>
      <c r="Y220" s="46"/>
      <c r="Z220" s="46"/>
      <c r="AB220" s="46"/>
      <c r="AC220" s="46"/>
      <c r="AD220" s="46"/>
      <c r="AE220" s="46"/>
      <c r="AF220" s="46"/>
      <c r="AG220" s="46"/>
      <c r="AH220" s="46"/>
      <c r="AI220" s="46"/>
      <c r="AJ220" s="46"/>
      <c r="AK220" s="46"/>
      <c r="AL220" s="46"/>
      <c r="AM220" s="46"/>
      <c r="AN220" s="46"/>
      <c r="AO220" s="46"/>
      <c r="AP220" s="46"/>
      <c r="AQ220" s="41"/>
    </row>
    <row r="221" spans="9:43" x14ac:dyDescent="0.3">
      <c r="I221" s="70">
        <f t="shared" ca="1" si="6"/>
        <v>125</v>
      </c>
      <c r="J221" s="46"/>
      <c r="K221" s="46"/>
      <c r="L221" s="46"/>
      <c r="M221" s="46"/>
      <c r="N221" s="46"/>
      <c r="O221" s="46"/>
      <c r="P221" s="46"/>
      <c r="Q221" s="46"/>
      <c r="R221" s="46"/>
      <c r="S221" s="46"/>
      <c r="T221" s="46"/>
      <c r="W221" s="46"/>
      <c r="X221" s="46"/>
      <c r="Y221" s="46"/>
      <c r="Z221" s="46"/>
      <c r="AB221" s="46"/>
      <c r="AC221" s="46"/>
      <c r="AD221" s="46"/>
      <c r="AE221" s="46"/>
      <c r="AF221" s="46"/>
      <c r="AG221" s="46"/>
      <c r="AH221" s="46"/>
      <c r="AI221" s="46"/>
      <c r="AJ221" s="46"/>
      <c r="AK221" s="46"/>
      <c r="AL221" s="46"/>
      <c r="AM221" s="46"/>
      <c r="AN221" s="46"/>
      <c r="AO221" s="46"/>
      <c r="AP221" s="46"/>
      <c r="AQ221" s="41"/>
    </row>
    <row r="222" spans="9:43" x14ac:dyDescent="0.3">
      <c r="I222" s="70">
        <f t="shared" ca="1" si="6"/>
        <v>125</v>
      </c>
      <c r="J222" s="46"/>
      <c r="K222" s="46"/>
      <c r="L222" s="46"/>
      <c r="M222" s="46"/>
      <c r="N222" s="46"/>
      <c r="O222" s="46"/>
      <c r="P222" s="46"/>
      <c r="Q222" s="46"/>
      <c r="R222" s="46"/>
      <c r="S222" s="46"/>
      <c r="T222" s="46"/>
      <c r="W222" s="46"/>
      <c r="X222" s="46"/>
      <c r="Y222" s="46"/>
      <c r="Z222" s="46"/>
      <c r="AB222" s="46"/>
      <c r="AC222" s="46"/>
      <c r="AD222" s="46"/>
      <c r="AE222" s="46"/>
      <c r="AF222" s="46"/>
      <c r="AG222" s="46"/>
      <c r="AH222" s="46"/>
      <c r="AI222" s="46"/>
      <c r="AJ222" s="46"/>
      <c r="AK222" s="46"/>
      <c r="AL222" s="46"/>
      <c r="AM222" s="46"/>
      <c r="AN222" s="46"/>
      <c r="AO222" s="46"/>
      <c r="AP222" s="46"/>
      <c r="AQ222" s="41"/>
    </row>
    <row r="223" spans="9:43" x14ac:dyDescent="0.3">
      <c r="I223" s="70">
        <f t="shared" ca="1" si="6"/>
        <v>125</v>
      </c>
      <c r="J223" s="46"/>
      <c r="K223" s="46"/>
      <c r="L223" s="46"/>
      <c r="M223" s="46"/>
      <c r="N223" s="46"/>
      <c r="O223" s="46"/>
      <c r="P223" s="46"/>
      <c r="Q223" s="46"/>
      <c r="R223" s="46"/>
      <c r="S223" s="46"/>
      <c r="T223" s="46"/>
      <c r="W223" s="46"/>
      <c r="X223" s="46"/>
      <c r="Y223" s="46"/>
      <c r="Z223" s="46"/>
      <c r="AB223" s="46"/>
      <c r="AC223" s="46"/>
      <c r="AD223" s="46"/>
      <c r="AE223" s="46"/>
      <c r="AF223" s="46"/>
      <c r="AG223" s="46"/>
      <c r="AH223" s="46"/>
      <c r="AI223" s="46"/>
      <c r="AJ223" s="46"/>
      <c r="AK223" s="46"/>
      <c r="AL223" s="46"/>
      <c r="AM223" s="46"/>
      <c r="AN223" s="46"/>
      <c r="AO223" s="46"/>
      <c r="AP223" s="46"/>
      <c r="AQ223" s="41"/>
    </row>
    <row r="224" spans="9:43" x14ac:dyDescent="0.3">
      <c r="I224" s="70">
        <f t="shared" ca="1" si="6"/>
        <v>125</v>
      </c>
      <c r="J224" s="46"/>
      <c r="K224" s="46"/>
      <c r="L224" s="46"/>
      <c r="M224" s="46"/>
      <c r="N224" s="46"/>
      <c r="O224" s="46"/>
      <c r="P224" s="46"/>
      <c r="Q224" s="46"/>
      <c r="R224" s="46"/>
      <c r="S224" s="46"/>
      <c r="T224" s="46"/>
      <c r="W224" s="46"/>
      <c r="X224" s="46"/>
      <c r="Y224" s="46"/>
      <c r="Z224" s="46"/>
      <c r="AB224" s="46"/>
      <c r="AC224" s="46"/>
      <c r="AD224" s="46"/>
      <c r="AE224" s="46"/>
      <c r="AF224" s="46"/>
      <c r="AG224" s="46"/>
      <c r="AH224" s="46"/>
      <c r="AI224" s="46"/>
      <c r="AJ224" s="46"/>
      <c r="AK224" s="46"/>
      <c r="AL224" s="46"/>
      <c r="AM224" s="46"/>
      <c r="AN224" s="46"/>
      <c r="AO224" s="46"/>
      <c r="AP224" s="46"/>
      <c r="AQ224" s="41"/>
    </row>
    <row r="225" spans="9:43" x14ac:dyDescent="0.3">
      <c r="I225" s="70">
        <f t="shared" ca="1" si="6"/>
        <v>125</v>
      </c>
      <c r="J225" s="46"/>
      <c r="K225" s="46"/>
      <c r="L225" s="46"/>
      <c r="M225" s="46"/>
      <c r="N225" s="46"/>
      <c r="O225" s="46"/>
      <c r="P225" s="46"/>
      <c r="Q225" s="46"/>
      <c r="R225" s="46"/>
      <c r="S225" s="46"/>
      <c r="T225" s="46"/>
      <c r="W225" s="46"/>
      <c r="X225" s="46"/>
      <c r="Y225" s="46"/>
      <c r="Z225" s="46"/>
      <c r="AB225" s="46"/>
      <c r="AC225" s="46"/>
      <c r="AD225" s="46"/>
      <c r="AE225" s="46"/>
      <c r="AF225" s="46"/>
      <c r="AG225" s="46"/>
      <c r="AH225" s="46"/>
      <c r="AI225" s="46"/>
      <c r="AJ225" s="46"/>
      <c r="AK225" s="46"/>
      <c r="AL225" s="46"/>
      <c r="AM225" s="46"/>
      <c r="AN225" s="46"/>
      <c r="AO225" s="46"/>
      <c r="AP225" s="46"/>
      <c r="AQ225" s="41"/>
    </row>
    <row r="226" spans="9:43" x14ac:dyDescent="0.3">
      <c r="I226" s="70">
        <f t="shared" ca="1" si="6"/>
        <v>125</v>
      </c>
      <c r="J226" s="46"/>
      <c r="K226" s="46"/>
      <c r="L226" s="46"/>
      <c r="M226" s="46"/>
      <c r="N226" s="46"/>
      <c r="O226" s="46"/>
      <c r="P226" s="46"/>
      <c r="Q226" s="46"/>
      <c r="R226" s="46"/>
      <c r="S226" s="46"/>
      <c r="T226" s="46"/>
      <c r="W226" s="46"/>
      <c r="X226" s="46"/>
      <c r="Y226" s="46"/>
      <c r="Z226" s="46"/>
      <c r="AB226" s="46"/>
      <c r="AC226" s="46"/>
      <c r="AD226" s="46"/>
      <c r="AE226" s="46"/>
      <c r="AF226" s="46"/>
      <c r="AG226" s="46"/>
      <c r="AH226" s="46"/>
      <c r="AI226" s="46"/>
      <c r="AJ226" s="46"/>
      <c r="AK226" s="46"/>
      <c r="AL226" s="46"/>
      <c r="AM226" s="46"/>
      <c r="AN226" s="46"/>
      <c r="AO226" s="46"/>
      <c r="AP226" s="46"/>
      <c r="AQ226" s="41"/>
    </row>
    <row r="227" spans="9:43" x14ac:dyDescent="0.3">
      <c r="I227" s="70">
        <f t="shared" ca="1" si="6"/>
        <v>125</v>
      </c>
      <c r="J227" s="46"/>
      <c r="K227" s="46"/>
      <c r="L227" s="46"/>
      <c r="M227" s="46"/>
      <c r="N227" s="46"/>
      <c r="O227" s="46"/>
      <c r="P227" s="46"/>
      <c r="Q227" s="46"/>
      <c r="R227" s="46"/>
      <c r="S227" s="46"/>
      <c r="T227" s="46"/>
      <c r="W227" s="46"/>
      <c r="X227" s="46"/>
      <c r="Y227" s="46"/>
      <c r="Z227" s="46"/>
      <c r="AB227" s="46"/>
      <c r="AC227" s="46"/>
      <c r="AD227" s="46"/>
      <c r="AE227" s="46"/>
      <c r="AF227" s="46"/>
      <c r="AG227" s="46"/>
      <c r="AH227" s="46"/>
      <c r="AI227" s="46"/>
      <c r="AJ227" s="46"/>
      <c r="AK227" s="46"/>
      <c r="AL227" s="46"/>
      <c r="AM227" s="46"/>
      <c r="AN227" s="46"/>
      <c r="AO227" s="46"/>
      <c r="AP227" s="46"/>
      <c r="AQ227" s="41"/>
    </row>
    <row r="228" spans="9:43" x14ac:dyDescent="0.3">
      <c r="I228" s="70">
        <f t="shared" ca="1" si="6"/>
        <v>125</v>
      </c>
      <c r="J228" s="46"/>
      <c r="K228" s="46"/>
      <c r="L228" s="46"/>
      <c r="M228" s="46"/>
      <c r="N228" s="46"/>
      <c r="O228" s="46"/>
      <c r="P228" s="46"/>
      <c r="Q228" s="46"/>
      <c r="R228" s="46"/>
      <c r="S228" s="46"/>
      <c r="T228" s="46"/>
      <c r="W228" s="46"/>
      <c r="X228" s="46"/>
      <c r="Y228" s="46"/>
      <c r="Z228" s="46"/>
      <c r="AB228" s="46"/>
      <c r="AC228" s="46"/>
      <c r="AD228" s="46"/>
      <c r="AE228" s="46"/>
      <c r="AF228" s="46"/>
      <c r="AG228" s="46"/>
      <c r="AH228" s="46"/>
      <c r="AI228" s="46"/>
      <c r="AJ228" s="46"/>
      <c r="AK228" s="46"/>
      <c r="AL228" s="46"/>
      <c r="AM228" s="46"/>
      <c r="AN228" s="46"/>
      <c r="AO228" s="46"/>
      <c r="AP228" s="46"/>
      <c r="AQ228" s="41"/>
    </row>
    <row r="229" spans="9:43" x14ac:dyDescent="0.3">
      <c r="I229" s="70">
        <f t="shared" ca="1" si="6"/>
        <v>125</v>
      </c>
      <c r="J229" s="46"/>
      <c r="K229" s="46"/>
      <c r="L229" s="46"/>
      <c r="M229" s="46"/>
      <c r="N229" s="46"/>
      <c r="O229" s="46"/>
      <c r="P229" s="46"/>
      <c r="Q229" s="46"/>
      <c r="R229" s="46"/>
      <c r="S229" s="46"/>
      <c r="T229" s="46"/>
      <c r="W229" s="46"/>
      <c r="X229" s="46"/>
      <c r="Y229" s="46"/>
      <c r="Z229" s="46"/>
      <c r="AB229" s="46"/>
      <c r="AC229" s="46"/>
      <c r="AD229" s="46"/>
      <c r="AE229" s="46"/>
      <c r="AF229" s="46"/>
      <c r="AG229" s="46"/>
      <c r="AH229" s="46"/>
      <c r="AI229" s="46"/>
      <c r="AJ229" s="46"/>
      <c r="AK229" s="46"/>
      <c r="AL229" s="46"/>
      <c r="AM229" s="46"/>
      <c r="AN229" s="46"/>
      <c r="AO229" s="46"/>
      <c r="AP229" s="46"/>
      <c r="AQ229" s="41"/>
    </row>
    <row r="230" spans="9:43" x14ac:dyDescent="0.3">
      <c r="I230" s="70">
        <f t="shared" ca="1" si="6"/>
        <v>125</v>
      </c>
      <c r="J230" s="46"/>
      <c r="K230" s="46"/>
      <c r="L230" s="46"/>
      <c r="M230" s="46"/>
      <c r="N230" s="46"/>
      <c r="O230" s="46"/>
      <c r="P230" s="46"/>
      <c r="Q230" s="46"/>
      <c r="R230" s="46"/>
      <c r="S230" s="46"/>
      <c r="T230" s="46"/>
      <c r="W230" s="46"/>
      <c r="X230" s="46"/>
      <c r="Y230" s="46"/>
      <c r="Z230" s="46"/>
      <c r="AB230" s="46"/>
      <c r="AC230" s="46"/>
      <c r="AD230" s="46"/>
      <c r="AE230" s="46"/>
      <c r="AF230" s="46"/>
      <c r="AG230" s="46"/>
      <c r="AH230" s="46"/>
      <c r="AI230" s="46"/>
      <c r="AJ230" s="46"/>
      <c r="AK230" s="46"/>
      <c r="AL230" s="46"/>
      <c r="AM230" s="46"/>
      <c r="AN230" s="46"/>
      <c r="AO230" s="46"/>
      <c r="AP230" s="46"/>
      <c r="AQ230" s="41"/>
    </row>
    <row r="231" spans="9:43" x14ac:dyDescent="0.3">
      <c r="I231" s="70">
        <f t="shared" ca="1" si="6"/>
        <v>125</v>
      </c>
      <c r="J231" s="46"/>
      <c r="K231" s="46"/>
      <c r="L231" s="46"/>
      <c r="M231" s="46"/>
      <c r="N231" s="46"/>
      <c r="O231" s="46"/>
      <c r="P231" s="46"/>
      <c r="Q231" s="46"/>
      <c r="R231" s="46"/>
      <c r="S231" s="46"/>
      <c r="T231" s="46"/>
      <c r="W231" s="46"/>
      <c r="X231" s="46"/>
      <c r="Y231" s="46"/>
      <c r="Z231" s="46"/>
      <c r="AB231" s="46"/>
      <c r="AC231" s="46"/>
      <c r="AD231" s="46"/>
      <c r="AE231" s="46"/>
      <c r="AF231" s="46"/>
      <c r="AG231" s="46"/>
      <c r="AH231" s="46"/>
      <c r="AI231" s="46"/>
      <c r="AJ231" s="46"/>
      <c r="AK231" s="46"/>
      <c r="AL231" s="46"/>
      <c r="AM231" s="46"/>
      <c r="AN231" s="46"/>
      <c r="AO231" s="46"/>
      <c r="AP231" s="46"/>
      <c r="AQ231" s="41"/>
    </row>
    <row r="232" spans="9:43" x14ac:dyDescent="0.3">
      <c r="I232" s="70">
        <f t="shared" ca="1" si="6"/>
        <v>125</v>
      </c>
      <c r="J232" s="46"/>
      <c r="K232" s="46"/>
      <c r="L232" s="46"/>
      <c r="M232" s="46"/>
      <c r="N232" s="46"/>
      <c r="O232" s="46"/>
      <c r="P232" s="46"/>
      <c r="Q232" s="46"/>
      <c r="R232" s="46"/>
      <c r="S232" s="46"/>
      <c r="T232" s="46"/>
      <c r="W232" s="46"/>
      <c r="X232" s="46"/>
      <c r="Y232" s="46"/>
      <c r="Z232" s="46"/>
      <c r="AB232" s="46"/>
      <c r="AC232" s="46"/>
      <c r="AD232" s="46"/>
      <c r="AE232" s="46"/>
      <c r="AF232" s="46"/>
      <c r="AG232" s="46"/>
      <c r="AH232" s="46"/>
      <c r="AI232" s="46"/>
      <c r="AJ232" s="46"/>
      <c r="AK232" s="46"/>
      <c r="AL232" s="46"/>
      <c r="AM232" s="46"/>
      <c r="AN232" s="46"/>
      <c r="AO232" s="46"/>
      <c r="AP232" s="46"/>
      <c r="AQ232" s="41"/>
    </row>
    <row r="233" spans="9:43" x14ac:dyDescent="0.3">
      <c r="I233" s="70">
        <f t="shared" ca="1" si="6"/>
        <v>125</v>
      </c>
      <c r="J233" s="46"/>
      <c r="K233" s="46"/>
      <c r="L233" s="46"/>
      <c r="M233" s="46"/>
      <c r="N233" s="46"/>
      <c r="O233" s="46"/>
      <c r="P233" s="46"/>
      <c r="Q233" s="46"/>
      <c r="R233" s="46"/>
      <c r="S233" s="46"/>
      <c r="T233" s="46"/>
      <c r="W233" s="46"/>
      <c r="X233" s="46"/>
      <c r="Y233" s="46"/>
      <c r="Z233" s="46"/>
      <c r="AB233" s="46"/>
      <c r="AC233" s="46"/>
      <c r="AD233" s="46"/>
      <c r="AE233" s="46"/>
      <c r="AF233" s="46"/>
      <c r="AG233" s="46"/>
      <c r="AH233" s="46"/>
      <c r="AI233" s="46"/>
      <c r="AJ233" s="46"/>
      <c r="AK233" s="46"/>
      <c r="AL233" s="46"/>
      <c r="AM233" s="46"/>
      <c r="AN233" s="46"/>
      <c r="AO233" s="46"/>
      <c r="AP233" s="46"/>
      <c r="AQ233" s="41"/>
    </row>
    <row r="234" spans="9:43" x14ac:dyDescent="0.3">
      <c r="I234" s="70">
        <f t="shared" ca="1" si="6"/>
        <v>125</v>
      </c>
      <c r="J234" s="46"/>
      <c r="K234" s="46"/>
      <c r="L234" s="46"/>
      <c r="M234" s="46"/>
      <c r="N234" s="46"/>
      <c r="O234" s="46"/>
      <c r="P234" s="46"/>
      <c r="Q234" s="46"/>
      <c r="R234" s="46"/>
      <c r="S234" s="46"/>
      <c r="T234" s="46"/>
      <c r="W234" s="46"/>
      <c r="X234" s="46"/>
      <c r="Y234" s="46"/>
      <c r="Z234" s="46"/>
      <c r="AB234" s="46"/>
      <c r="AC234" s="46"/>
      <c r="AD234" s="46"/>
      <c r="AE234" s="46"/>
      <c r="AF234" s="46"/>
      <c r="AG234" s="46"/>
      <c r="AH234" s="46"/>
      <c r="AI234" s="46"/>
      <c r="AJ234" s="46"/>
      <c r="AK234" s="46"/>
      <c r="AL234" s="46"/>
      <c r="AM234" s="46"/>
      <c r="AN234" s="46"/>
      <c r="AO234" s="46"/>
      <c r="AP234" s="46"/>
      <c r="AQ234" s="41"/>
    </row>
    <row r="235" spans="9:43" x14ac:dyDescent="0.3">
      <c r="I235" s="70">
        <f t="shared" ca="1" si="6"/>
        <v>125</v>
      </c>
      <c r="J235" s="46"/>
      <c r="K235" s="46"/>
      <c r="L235" s="46"/>
      <c r="M235" s="46"/>
      <c r="N235" s="46"/>
      <c r="O235" s="46"/>
      <c r="P235" s="46"/>
      <c r="Q235" s="46"/>
      <c r="R235" s="46"/>
      <c r="S235" s="46"/>
      <c r="T235" s="46"/>
      <c r="W235" s="46"/>
      <c r="X235" s="46"/>
      <c r="Y235" s="46"/>
      <c r="Z235" s="46"/>
      <c r="AB235" s="46"/>
      <c r="AC235" s="46"/>
      <c r="AD235" s="46"/>
      <c r="AE235" s="46"/>
      <c r="AF235" s="46"/>
      <c r="AG235" s="46"/>
      <c r="AH235" s="46"/>
      <c r="AI235" s="46"/>
      <c r="AJ235" s="46"/>
      <c r="AK235" s="46"/>
      <c r="AL235" s="46"/>
      <c r="AM235" s="46"/>
      <c r="AN235" s="46"/>
      <c r="AO235" s="46"/>
      <c r="AP235" s="46"/>
      <c r="AQ235" s="41"/>
    </row>
    <row r="236" spans="9:43" x14ac:dyDescent="0.3">
      <c r="I236" s="70">
        <f t="shared" ca="1" si="6"/>
        <v>125</v>
      </c>
      <c r="J236" s="46"/>
      <c r="K236" s="46"/>
      <c r="L236" s="46"/>
      <c r="M236" s="46"/>
      <c r="N236" s="46"/>
      <c r="O236" s="46"/>
      <c r="P236" s="46"/>
      <c r="Q236" s="46"/>
      <c r="R236" s="46"/>
      <c r="S236" s="46"/>
      <c r="T236" s="46"/>
      <c r="W236" s="46"/>
      <c r="X236" s="46"/>
      <c r="Y236" s="46"/>
      <c r="Z236" s="46"/>
      <c r="AB236" s="46"/>
      <c r="AC236" s="46"/>
      <c r="AD236" s="46"/>
      <c r="AE236" s="46"/>
      <c r="AF236" s="46"/>
      <c r="AG236" s="46"/>
      <c r="AH236" s="46"/>
      <c r="AI236" s="46"/>
      <c r="AJ236" s="46"/>
      <c r="AK236" s="46"/>
      <c r="AL236" s="46"/>
      <c r="AM236" s="46"/>
      <c r="AN236" s="46"/>
      <c r="AO236" s="46"/>
      <c r="AP236" s="46"/>
      <c r="AQ236" s="41"/>
    </row>
    <row r="237" spans="9:43" x14ac:dyDescent="0.3">
      <c r="I237" s="70">
        <f t="shared" ca="1" si="6"/>
        <v>125</v>
      </c>
      <c r="J237" s="46"/>
      <c r="K237" s="46"/>
      <c r="L237" s="46"/>
      <c r="M237" s="46"/>
      <c r="N237" s="46"/>
      <c r="O237" s="46"/>
      <c r="P237" s="46"/>
      <c r="Q237" s="46"/>
      <c r="R237" s="46"/>
      <c r="S237" s="46"/>
      <c r="T237" s="46"/>
      <c r="W237" s="46"/>
      <c r="X237" s="46"/>
      <c r="Y237" s="46"/>
      <c r="Z237" s="46"/>
      <c r="AB237" s="46"/>
      <c r="AC237" s="46"/>
      <c r="AD237" s="46"/>
      <c r="AE237" s="46"/>
      <c r="AF237" s="46"/>
      <c r="AG237" s="46"/>
      <c r="AH237" s="46"/>
      <c r="AI237" s="46"/>
      <c r="AJ237" s="46"/>
      <c r="AK237" s="46"/>
      <c r="AL237" s="46"/>
      <c r="AM237" s="46"/>
      <c r="AN237" s="46"/>
      <c r="AO237" s="46"/>
      <c r="AP237" s="46"/>
      <c r="AQ237" s="41"/>
    </row>
    <row r="238" spans="9:43" x14ac:dyDescent="0.3">
      <c r="I238" s="70">
        <f t="shared" ca="1" si="6"/>
        <v>125</v>
      </c>
      <c r="J238" s="46"/>
      <c r="K238" s="46"/>
      <c r="L238" s="46"/>
      <c r="M238" s="46"/>
      <c r="N238" s="46"/>
      <c r="O238" s="46"/>
      <c r="P238" s="46"/>
      <c r="Q238" s="46"/>
      <c r="R238" s="46"/>
      <c r="S238" s="46"/>
      <c r="T238" s="46"/>
      <c r="W238" s="46"/>
      <c r="X238" s="46"/>
      <c r="Y238" s="46"/>
      <c r="Z238" s="46"/>
      <c r="AB238" s="46"/>
      <c r="AC238" s="46"/>
      <c r="AD238" s="46"/>
      <c r="AE238" s="46"/>
      <c r="AF238" s="46"/>
      <c r="AG238" s="46"/>
      <c r="AH238" s="46"/>
      <c r="AI238" s="46"/>
      <c r="AJ238" s="46"/>
      <c r="AK238" s="46"/>
      <c r="AL238" s="46"/>
      <c r="AM238" s="46"/>
      <c r="AN238" s="46"/>
      <c r="AO238" s="46"/>
      <c r="AP238" s="46"/>
      <c r="AQ238" s="41"/>
    </row>
    <row r="239" spans="9:43" x14ac:dyDescent="0.3">
      <c r="I239" s="70">
        <f t="shared" ca="1" si="6"/>
        <v>125</v>
      </c>
      <c r="J239" s="46"/>
      <c r="K239" s="46"/>
      <c r="L239" s="46"/>
      <c r="M239" s="46"/>
      <c r="N239" s="46"/>
      <c r="O239" s="46"/>
      <c r="P239" s="46"/>
      <c r="Q239" s="46"/>
      <c r="R239" s="46"/>
      <c r="S239" s="46"/>
      <c r="T239" s="46"/>
      <c r="W239" s="46"/>
      <c r="X239" s="46"/>
      <c r="Y239" s="46"/>
      <c r="Z239" s="46"/>
      <c r="AB239" s="46"/>
      <c r="AC239" s="46"/>
      <c r="AD239" s="46"/>
      <c r="AE239" s="46"/>
      <c r="AF239" s="46"/>
      <c r="AG239" s="46"/>
      <c r="AH239" s="46"/>
      <c r="AI239" s="46"/>
      <c r="AJ239" s="46"/>
      <c r="AK239" s="46"/>
      <c r="AL239" s="46"/>
      <c r="AM239" s="46"/>
      <c r="AN239" s="46"/>
      <c r="AO239" s="46"/>
      <c r="AP239" s="46"/>
      <c r="AQ239" s="41"/>
    </row>
    <row r="240" spans="9:43" x14ac:dyDescent="0.3">
      <c r="I240" s="70">
        <f t="shared" ca="1" si="6"/>
        <v>125</v>
      </c>
      <c r="J240" s="46"/>
      <c r="K240" s="46"/>
      <c r="L240" s="46"/>
      <c r="M240" s="46"/>
      <c r="N240" s="46"/>
      <c r="O240" s="46"/>
      <c r="P240" s="46"/>
      <c r="Q240" s="46"/>
      <c r="R240" s="46"/>
      <c r="S240" s="46"/>
      <c r="T240" s="46"/>
      <c r="W240" s="46"/>
      <c r="X240" s="46"/>
      <c r="Y240" s="46"/>
      <c r="Z240" s="46"/>
      <c r="AB240" s="46"/>
      <c r="AC240" s="46"/>
      <c r="AD240" s="46"/>
      <c r="AE240" s="46"/>
      <c r="AF240" s="46"/>
      <c r="AG240" s="46"/>
      <c r="AH240" s="46"/>
      <c r="AI240" s="46"/>
      <c r="AJ240" s="46"/>
      <c r="AK240" s="46"/>
      <c r="AL240" s="46"/>
      <c r="AM240" s="46"/>
      <c r="AN240" s="46"/>
      <c r="AO240" s="46"/>
      <c r="AP240" s="46"/>
      <c r="AQ240" s="41"/>
    </row>
    <row r="241" spans="9:43" x14ac:dyDescent="0.3">
      <c r="I241" s="70">
        <f t="shared" ca="1" si="6"/>
        <v>125</v>
      </c>
      <c r="J241" s="46"/>
      <c r="K241" s="46"/>
      <c r="L241" s="46"/>
      <c r="M241" s="46"/>
      <c r="N241" s="46"/>
      <c r="O241" s="46"/>
      <c r="P241" s="46"/>
      <c r="Q241" s="46"/>
      <c r="R241" s="46"/>
      <c r="S241" s="46"/>
      <c r="T241" s="46"/>
      <c r="W241" s="46"/>
      <c r="X241" s="46"/>
      <c r="Y241" s="46"/>
      <c r="Z241" s="46"/>
      <c r="AB241" s="46"/>
      <c r="AC241" s="46"/>
      <c r="AD241" s="46"/>
      <c r="AE241" s="46"/>
      <c r="AF241" s="46"/>
      <c r="AG241" s="46"/>
      <c r="AH241" s="46"/>
      <c r="AI241" s="46"/>
      <c r="AJ241" s="46"/>
      <c r="AK241" s="46"/>
      <c r="AL241" s="46"/>
      <c r="AM241" s="46"/>
      <c r="AN241" s="46"/>
      <c r="AO241" s="46"/>
      <c r="AP241" s="46"/>
      <c r="AQ241" s="41"/>
    </row>
    <row r="242" spans="9:43" x14ac:dyDescent="0.3">
      <c r="I242" s="70">
        <f t="shared" ca="1" si="6"/>
        <v>125</v>
      </c>
      <c r="J242" s="46"/>
      <c r="K242" s="46"/>
      <c r="L242" s="46"/>
      <c r="M242" s="46"/>
      <c r="N242" s="46"/>
      <c r="O242" s="46"/>
      <c r="P242" s="46"/>
      <c r="Q242" s="46"/>
      <c r="R242" s="46"/>
      <c r="S242" s="46"/>
      <c r="T242" s="46"/>
      <c r="W242" s="46"/>
      <c r="X242" s="46"/>
      <c r="Y242" s="46"/>
      <c r="Z242" s="46"/>
      <c r="AB242" s="46"/>
      <c r="AC242" s="46"/>
      <c r="AD242" s="46"/>
      <c r="AE242" s="46"/>
      <c r="AF242" s="46"/>
      <c r="AG242" s="46"/>
      <c r="AH242" s="46"/>
      <c r="AI242" s="46"/>
      <c r="AJ242" s="46"/>
      <c r="AK242" s="46"/>
      <c r="AL242" s="46"/>
      <c r="AM242" s="46"/>
      <c r="AN242" s="46"/>
      <c r="AO242" s="46"/>
      <c r="AP242" s="46"/>
      <c r="AQ242" s="41"/>
    </row>
    <row r="243" spans="9:43" x14ac:dyDescent="0.3">
      <c r="I243" s="70">
        <f t="shared" ca="1" si="6"/>
        <v>125</v>
      </c>
      <c r="J243" s="46"/>
      <c r="K243" s="46"/>
      <c r="L243" s="46"/>
      <c r="M243" s="46"/>
      <c r="N243" s="46"/>
      <c r="O243" s="46"/>
      <c r="P243" s="46"/>
      <c r="Q243" s="46"/>
      <c r="R243" s="46"/>
      <c r="S243" s="46"/>
      <c r="T243" s="46"/>
      <c r="W243" s="46"/>
      <c r="X243" s="46"/>
      <c r="Y243" s="46"/>
      <c r="Z243" s="46"/>
      <c r="AB243" s="46"/>
      <c r="AC243" s="46"/>
      <c r="AD243" s="46"/>
      <c r="AE243" s="46"/>
      <c r="AF243" s="46"/>
      <c r="AG243" s="46"/>
      <c r="AH243" s="46"/>
      <c r="AI243" s="46"/>
      <c r="AJ243" s="46"/>
      <c r="AK243" s="46"/>
      <c r="AL243" s="46"/>
      <c r="AM243" s="46"/>
      <c r="AN243" s="46"/>
      <c r="AO243" s="46"/>
      <c r="AP243" s="46"/>
      <c r="AQ243" s="41"/>
    </row>
    <row r="244" spans="9:43" x14ac:dyDescent="0.3">
      <c r="I244" s="70">
        <f t="shared" ca="1" si="6"/>
        <v>125</v>
      </c>
      <c r="J244" s="46"/>
      <c r="K244" s="46"/>
      <c r="L244" s="46"/>
      <c r="M244" s="46"/>
      <c r="N244" s="46"/>
      <c r="O244" s="46"/>
      <c r="P244" s="46"/>
      <c r="Q244" s="46"/>
      <c r="R244" s="46"/>
      <c r="S244" s="46"/>
      <c r="T244" s="46"/>
      <c r="W244" s="46"/>
      <c r="X244" s="46"/>
      <c r="Y244" s="46"/>
      <c r="Z244" s="46"/>
      <c r="AB244" s="46"/>
      <c r="AC244" s="46"/>
      <c r="AD244" s="46"/>
      <c r="AE244" s="46"/>
      <c r="AF244" s="46"/>
      <c r="AG244" s="46"/>
      <c r="AH244" s="46"/>
      <c r="AI244" s="46"/>
      <c r="AJ244" s="46"/>
      <c r="AK244" s="46"/>
      <c r="AL244" s="46"/>
      <c r="AM244" s="46"/>
      <c r="AN244" s="46"/>
      <c r="AO244" s="46"/>
      <c r="AP244" s="46"/>
      <c r="AQ244" s="41"/>
    </row>
    <row r="245" spans="9:43" x14ac:dyDescent="0.3">
      <c r="I245" s="70">
        <f t="shared" ca="1" si="6"/>
        <v>125</v>
      </c>
      <c r="J245" s="46"/>
      <c r="K245" s="46"/>
      <c r="L245" s="46"/>
      <c r="M245" s="46"/>
      <c r="N245" s="46"/>
      <c r="O245" s="46"/>
      <c r="P245" s="46"/>
      <c r="Q245" s="46"/>
      <c r="R245" s="46"/>
      <c r="S245" s="46"/>
      <c r="T245" s="46"/>
      <c r="W245" s="46"/>
      <c r="X245" s="46"/>
      <c r="Y245" s="46"/>
      <c r="Z245" s="46"/>
      <c r="AB245" s="46"/>
      <c r="AC245" s="46"/>
      <c r="AD245" s="46"/>
      <c r="AE245" s="46"/>
      <c r="AF245" s="46"/>
      <c r="AG245" s="46"/>
      <c r="AH245" s="46"/>
      <c r="AI245" s="46"/>
      <c r="AJ245" s="46"/>
      <c r="AK245" s="46"/>
      <c r="AL245" s="46"/>
      <c r="AM245" s="46"/>
      <c r="AN245" s="46"/>
      <c r="AO245" s="46"/>
      <c r="AP245" s="46"/>
      <c r="AQ245" s="41"/>
    </row>
    <row r="246" spans="9:43" x14ac:dyDescent="0.3">
      <c r="I246" s="70">
        <f t="shared" ca="1" si="6"/>
        <v>125</v>
      </c>
      <c r="J246" s="46"/>
      <c r="K246" s="46"/>
      <c r="L246" s="46"/>
      <c r="M246" s="46"/>
      <c r="N246" s="46"/>
      <c r="O246" s="46"/>
      <c r="P246" s="46"/>
      <c r="Q246" s="46"/>
      <c r="R246" s="46"/>
      <c r="S246" s="46"/>
      <c r="T246" s="46"/>
      <c r="W246" s="46"/>
      <c r="X246" s="46"/>
      <c r="Y246" s="46"/>
      <c r="Z246" s="46"/>
      <c r="AB246" s="46"/>
      <c r="AC246" s="46"/>
      <c r="AD246" s="46"/>
      <c r="AE246" s="46"/>
      <c r="AF246" s="46"/>
      <c r="AG246" s="46"/>
      <c r="AH246" s="46"/>
      <c r="AI246" s="46"/>
      <c r="AJ246" s="46"/>
      <c r="AK246" s="46"/>
      <c r="AL246" s="46"/>
      <c r="AM246" s="46"/>
      <c r="AN246" s="46"/>
      <c r="AO246" s="46"/>
      <c r="AP246" s="46"/>
      <c r="AQ246" s="41"/>
    </row>
    <row r="247" spans="9:43" x14ac:dyDescent="0.3">
      <c r="I247" s="70">
        <f t="shared" ca="1" si="6"/>
        <v>125</v>
      </c>
      <c r="J247" s="46"/>
      <c r="K247" s="46"/>
      <c r="L247" s="46"/>
      <c r="M247" s="46"/>
      <c r="N247" s="46"/>
      <c r="O247" s="46"/>
      <c r="P247" s="46"/>
      <c r="Q247" s="46"/>
      <c r="R247" s="46"/>
      <c r="S247" s="46"/>
      <c r="T247" s="46"/>
      <c r="W247" s="46"/>
      <c r="X247" s="46"/>
      <c r="Y247" s="46"/>
      <c r="Z247" s="46"/>
      <c r="AB247" s="46"/>
      <c r="AC247" s="46"/>
      <c r="AD247" s="46"/>
      <c r="AE247" s="46"/>
      <c r="AF247" s="46"/>
      <c r="AG247" s="46"/>
      <c r="AH247" s="46"/>
      <c r="AI247" s="46"/>
      <c r="AJ247" s="46"/>
      <c r="AK247" s="46"/>
      <c r="AL247" s="46"/>
      <c r="AM247" s="46"/>
      <c r="AN247" s="46"/>
      <c r="AO247" s="46"/>
      <c r="AP247" s="46"/>
      <c r="AQ247" s="41"/>
    </row>
    <row r="248" spans="9:43" x14ac:dyDescent="0.3">
      <c r="I248" s="70">
        <f t="shared" ca="1" si="6"/>
        <v>125</v>
      </c>
      <c r="J248" s="46"/>
      <c r="K248" s="46"/>
      <c r="L248" s="46"/>
      <c r="M248" s="46"/>
      <c r="N248" s="46"/>
      <c r="O248" s="46"/>
      <c r="P248" s="46"/>
      <c r="Q248" s="46"/>
      <c r="R248" s="46"/>
      <c r="S248" s="46"/>
      <c r="T248" s="46"/>
      <c r="W248" s="46"/>
      <c r="X248" s="46"/>
      <c r="Y248" s="46"/>
      <c r="Z248" s="46"/>
      <c r="AB248" s="46"/>
      <c r="AC248" s="46"/>
      <c r="AD248" s="46"/>
      <c r="AE248" s="46"/>
      <c r="AF248" s="46"/>
      <c r="AG248" s="46"/>
      <c r="AH248" s="46"/>
      <c r="AI248" s="46"/>
      <c r="AJ248" s="46"/>
      <c r="AK248" s="46"/>
      <c r="AL248" s="46"/>
      <c r="AM248" s="46"/>
      <c r="AN248" s="46"/>
      <c r="AO248" s="46"/>
      <c r="AP248" s="46"/>
      <c r="AQ248" s="41"/>
    </row>
    <row r="249" spans="9:43" x14ac:dyDescent="0.3">
      <c r="I249" s="70">
        <f t="shared" ca="1" si="6"/>
        <v>125</v>
      </c>
      <c r="J249" s="46"/>
      <c r="K249" s="46"/>
      <c r="L249" s="46"/>
      <c r="M249" s="46"/>
      <c r="N249" s="46"/>
      <c r="O249" s="46"/>
      <c r="P249" s="46"/>
      <c r="Q249" s="46"/>
      <c r="R249" s="46"/>
      <c r="S249" s="46"/>
      <c r="T249" s="46"/>
      <c r="W249" s="46"/>
      <c r="X249" s="46"/>
      <c r="Y249" s="46"/>
      <c r="Z249" s="46"/>
      <c r="AB249" s="46"/>
      <c r="AC249" s="46"/>
      <c r="AD249" s="46"/>
      <c r="AE249" s="46"/>
      <c r="AF249" s="46"/>
      <c r="AG249" s="46"/>
      <c r="AH249" s="46"/>
      <c r="AI249" s="46"/>
      <c r="AJ249" s="46"/>
      <c r="AK249" s="46"/>
      <c r="AL249" s="46"/>
      <c r="AM249" s="46"/>
      <c r="AN249" s="46"/>
      <c r="AO249" s="46"/>
      <c r="AP249" s="46"/>
      <c r="AQ249" s="41"/>
    </row>
    <row r="250" spans="9:43" x14ac:dyDescent="0.3">
      <c r="I250" s="70">
        <f t="shared" ca="1" si="6"/>
        <v>125</v>
      </c>
      <c r="J250" s="46"/>
      <c r="K250" s="46"/>
      <c r="L250" s="46"/>
      <c r="M250" s="46"/>
      <c r="N250" s="46"/>
      <c r="O250" s="46"/>
      <c r="P250" s="46"/>
      <c r="Q250" s="46"/>
      <c r="R250" s="46"/>
      <c r="S250" s="46"/>
      <c r="T250" s="46"/>
      <c r="W250" s="46"/>
      <c r="X250" s="46"/>
      <c r="Y250" s="46"/>
      <c r="Z250" s="46"/>
      <c r="AB250" s="46"/>
      <c r="AC250" s="46"/>
      <c r="AD250" s="46"/>
      <c r="AE250" s="46"/>
      <c r="AF250" s="46"/>
      <c r="AG250" s="46"/>
      <c r="AH250" s="46"/>
      <c r="AI250" s="46"/>
      <c r="AJ250" s="46"/>
      <c r="AK250" s="46"/>
      <c r="AL250" s="46"/>
      <c r="AM250" s="46"/>
      <c r="AN250" s="46"/>
      <c r="AO250" s="46"/>
      <c r="AP250" s="46"/>
      <c r="AQ250" s="41"/>
    </row>
    <row r="251" spans="9:43" x14ac:dyDescent="0.3">
      <c r="I251" s="70">
        <f t="shared" ca="1" si="6"/>
        <v>125</v>
      </c>
      <c r="J251" s="46"/>
      <c r="K251" s="46"/>
      <c r="L251" s="46"/>
      <c r="M251" s="46"/>
      <c r="N251" s="46"/>
      <c r="O251" s="46"/>
      <c r="P251" s="46"/>
      <c r="Q251" s="46"/>
      <c r="R251" s="46"/>
      <c r="S251" s="46"/>
      <c r="T251" s="46"/>
      <c r="W251" s="46"/>
      <c r="X251" s="46"/>
      <c r="Y251" s="46"/>
      <c r="Z251" s="46"/>
      <c r="AB251" s="46"/>
      <c r="AC251" s="46"/>
      <c r="AD251" s="46"/>
      <c r="AE251" s="46"/>
      <c r="AF251" s="46"/>
      <c r="AG251" s="46"/>
      <c r="AH251" s="46"/>
      <c r="AI251" s="46"/>
      <c r="AJ251" s="46"/>
      <c r="AK251" s="46"/>
      <c r="AL251" s="46"/>
      <c r="AM251" s="46"/>
      <c r="AN251" s="46"/>
      <c r="AO251" s="46"/>
      <c r="AP251" s="46"/>
      <c r="AQ251" s="41"/>
    </row>
    <row r="252" spans="9:43" x14ac:dyDescent="0.3">
      <c r="I252" s="70">
        <f t="shared" ca="1" si="6"/>
        <v>125</v>
      </c>
      <c r="J252" s="46"/>
      <c r="K252" s="46"/>
      <c r="L252" s="46"/>
      <c r="M252" s="46"/>
      <c r="N252" s="46"/>
      <c r="O252" s="46"/>
      <c r="P252" s="46"/>
      <c r="Q252" s="46"/>
      <c r="R252" s="46"/>
      <c r="S252" s="46"/>
      <c r="T252" s="46"/>
      <c r="W252" s="46"/>
      <c r="X252" s="46"/>
      <c r="Y252" s="46"/>
      <c r="Z252" s="46"/>
      <c r="AB252" s="46"/>
      <c r="AC252" s="46"/>
      <c r="AD252" s="46"/>
      <c r="AE252" s="46"/>
      <c r="AF252" s="46"/>
      <c r="AG252" s="46"/>
      <c r="AH252" s="46"/>
      <c r="AI252" s="46"/>
      <c r="AJ252" s="46"/>
      <c r="AK252" s="46"/>
      <c r="AL252" s="46"/>
      <c r="AM252" s="46"/>
      <c r="AN252" s="46"/>
      <c r="AO252" s="46"/>
      <c r="AP252" s="46"/>
      <c r="AQ252" s="41"/>
    </row>
    <row r="253" spans="9:43" x14ac:dyDescent="0.3">
      <c r="I253" s="70">
        <f t="shared" ca="1" si="6"/>
        <v>125</v>
      </c>
      <c r="J253" s="46"/>
      <c r="K253" s="46"/>
      <c r="L253" s="46"/>
      <c r="M253" s="46"/>
      <c r="N253" s="46"/>
      <c r="O253" s="46"/>
      <c r="P253" s="46"/>
      <c r="Q253" s="46"/>
      <c r="R253" s="46"/>
      <c r="S253" s="46"/>
      <c r="T253" s="46"/>
      <c r="W253" s="46"/>
      <c r="X253" s="46"/>
      <c r="Y253" s="46"/>
      <c r="Z253" s="46"/>
      <c r="AB253" s="46"/>
      <c r="AC253" s="46"/>
      <c r="AD253" s="46"/>
      <c r="AE253" s="46"/>
      <c r="AF253" s="46"/>
      <c r="AG253" s="46"/>
      <c r="AH253" s="46"/>
      <c r="AI253" s="46"/>
      <c r="AJ253" s="46"/>
      <c r="AK253" s="46"/>
      <c r="AL253" s="46"/>
      <c r="AM253" s="46"/>
      <c r="AN253" s="46"/>
      <c r="AO253" s="46"/>
      <c r="AP253" s="46"/>
      <c r="AQ253" s="41"/>
    </row>
    <row r="254" spans="9:43" x14ac:dyDescent="0.3">
      <c r="I254" s="70">
        <f t="shared" ca="1" si="6"/>
        <v>125</v>
      </c>
      <c r="J254" s="46"/>
      <c r="K254" s="46"/>
      <c r="L254" s="46"/>
      <c r="M254" s="46"/>
      <c r="N254" s="46"/>
      <c r="O254" s="46"/>
      <c r="P254" s="46"/>
      <c r="Q254" s="46"/>
      <c r="R254" s="46"/>
      <c r="S254" s="46"/>
      <c r="T254" s="46"/>
      <c r="W254" s="46"/>
      <c r="X254" s="46"/>
      <c r="Y254" s="46"/>
      <c r="Z254" s="46"/>
      <c r="AB254" s="46"/>
      <c r="AC254" s="46"/>
      <c r="AD254" s="46"/>
      <c r="AE254" s="46"/>
      <c r="AF254" s="46"/>
      <c r="AG254" s="46"/>
      <c r="AH254" s="46"/>
      <c r="AI254" s="46"/>
      <c r="AJ254" s="46"/>
      <c r="AK254" s="46"/>
      <c r="AL254" s="46"/>
      <c r="AM254" s="46"/>
      <c r="AN254" s="46"/>
      <c r="AO254" s="46"/>
      <c r="AP254" s="46"/>
      <c r="AQ254" s="41"/>
    </row>
    <row r="255" spans="9:43" x14ac:dyDescent="0.3">
      <c r="I255" s="70">
        <f t="shared" ca="1" si="6"/>
        <v>125</v>
      </c>
      <c r="J255" s="46"/>
      <c r="K255" s="46"/>
      <c r="L255" s="46"/>
      <c r="M255" s="46"/>
      <c r="N255" s="46"/>
      <c r="O255" s="46"/>
      <c r="P255" s="46"/>
      <c r="Q255" s="46"/>
      <c r="R255" s="46"/>
      <c r="S255" s="46"/>
      <c r="T255" s="46"/>
      <c r="W255" s="46"/>
      <c r="X255" s="46"/>
      <c r="Y255" s="46"/>
      <c r="Z255" s="46"/>
      <c r="AB255" s="46"/>
      <c r="AC255" s="46"/>
      <c r="AD255" s="46"/>
      <c r="AE255" s="46"/>
      <c r="AF255" s="46"/>
      <c r="AG255" s="46"/>
      <c r="AH255" s="46"/>
      <c r="AI255" s="46"/>
      <c r="AJ255" s="46"/>
      <c r="AK255" s="46"/>
      <c r="AL255" s="46"/>
      <c r="AM255" s="46"/>
      <c r="AN255" s="46"/>
      <c r="AO255" s="46"/>
      <c r="AP255" s="46"/>
      <c r="AQ255" s="41"/>
    </row>
    <row r="256" spans="9:43" x14ac:dyDescent="0.3">
      <c r="I256" s="70">
        <f t="shared" ca="1" si="6"/>
        <v>125</v>
      </c>
      <c r="J256" s="46"/>
      <c r="K256" s="46"/>
      <c r="L256" s="46"/>
      <c r="M256" s="46"/>
      <c r="N256" s="46"/>
      <c r="O256" s="46"/>
      <c r="P256" s="46"/>
      <c r="Q256" s="46"/>
      <c r="R256" s="46"/>
      <c r="S256" s="46"/>
      <c r="T256" s="46"/>
      <c r="W256" s="46"/>
      <c r="X256" s="46"/>
      <c r="Y256" s="46"/>
      <c r="Z256" s="46"/>
      <c r="AB256" s="46"/>
      <c r="AC256" s="46"/>
      <c r="AD256" s="46"/>
      <c r="AE256" s="46"/>
      <c r="AF256" s="46"/>
      <c r="AG256" s="46"/>
      <c r="AH256" s="46"/>
      <c r="AI256" s="46"/>
      <c r="AJ256" s="46"/>
      <c r="AK256" s="46"/>
      <c r="AL256" s="46"/>
      <c r="AM256" s="46"/>
      <c r="AN256" s="46"/>
      <c r="AO256" s="46"/>
      <c r="AP256" s="46"/>
      <c r="AQ256" s="41"/>
    </row>
    <row r="257" spans="9:43" x14ac:dyDescent="0.3">
      <c r="I257" s="70">
        <f t="shared" ca="1" si="6"/>
        <v>125</v>
      </c>
      <c r="J257" s="46"/>
      <c r="K257" s="46"/>
      <c r="L257" s="46"/>
      <c r="M257" s="46"/>
      <c r="N257" s="46"/>
      <c r="O257" s="46"/>
      <c r="P257" s="46"/>
      <c r="Q257" s="46"/>
      <c r="R257" s="46"/>
      <c r="S257" s="46"/>
      <c r="T257" s="46"/>
      <c r="W257" s="46"/>
      <c r="X257" s="46"/>
      <c r="Y257" s="46"/>
      <c r="Z257" s="46"/>
      <c r="AB257" s="46"/>
      <c r="AC257" s="46"/>
      <c r="AD257" s="46"/>
      <c r="AE257" s="46"/>
      <c r="AF257" s="46"/>
      <c r="AG257" s="46"/>
      <c r="AH257" s="46"/>
      <c r="AI257" s="46"/>
      <c r="AJ257" s="46"/>
      <c r="AK257" s="46"/>
      <c r="AL257" s="46"/>
      <c r="AM257" s="46"/>
      <c r="AN257" s="46"/>
      <c r="AO257" s="46"/>
      <c r="AP257" s="46"/>
      <c r="AQ257" s="41"/>
    </row>
    <row r="258" spans="9:43" x14ac:dyDescent="0.3">
      <c r="I258" s="70">
        <f t="shared" ca="1" si="6"/>
        <v>125</v>
      </c>
      <c r="J258" s="46"/>
      <c r="K258" s="46"/>
      <c r="L258" s="46"/>
      <c r="M258" s="46"/>
      <c r="N258" s="46"/>
      <c r="O258" s="46"/>
      <c r="P258" s="46"/>
      <c r="Q258" s="46"/>
      <c r="R258" s="46"/>
      <c r="S258" s="46"/>
      <c r="T258" s="46"/>
      <c r="W258" s="46"/>
      <c r="X258" s="46"/>
      <c r="Y258" s="46"/>
      <c r="Z258" s="46"/>
      <c r="AB258" s="46"/>
      <c r="AC258" s="46"/>
      <c r="AD258" s="46"/>
      <c r="AE258" s="46"/>
      <c r="AF258" s="46"/>
      <c r="AG258" s="46"/>
      <c r="AH258" s="46"/>
      <c r="AI258" s="46"/>
      <c r="AJ258" s="46"/>
      <c r="AK258" s="46"/>
      <c r="AL258" s="46"/>
      <c r="AM258" s="46"/>
      <c r="AN258" s="46"/>
      <c r="AO258" s="46"/>
      <c r="AP258" s="46"/>
      <c r="AQ258" s="41"/>
    </row>
    <row r="259" spans="9:43" x14ac:dyDescent="0.3">
      <c r="I259" s="70">
        <f t="shared" ca="1" si="6"/>
        <v>125</v>
      </c>
      <c r="J259" s="46"/>
      <c r="K259" s="46"/>
      <c r="L259" s="46"/>
      <c r="M259" s="46"/>
      <c r="N259" s="46"/>
      <c r="O259" s="46"/>
      <c r="P259" s="46"/>
      <c r="Q259" s="46"/>
      <c r="R259" s="46"/>
      <c r="S259" s="46"/>
      <c r="T259" s="46"/>
      <c r="W259" s="46"/>
      <c r="X259" s="46"/>
      <c r="Y259" s="46"/>
      <c r="Z259" s="46"/>
      <c r="AB259" s="46"/>
      <c r="AC259" s="46"/>
      <c r="AD259" s="46"/>
      <c r="AE259" s="46"/>
      <c r="AF259" s="46"/>
      <c r="AG259" s="46"/>
      <c r="AH259" s="46"/>
      <c r="AI259" s="46"/>
      <c r="AJ259" s="46"/>
      <c r="AK259" s="46"/>
      <c r="AL259" s="46"/>
      <c r="AM259" s="46"/>
      <c r="AN259" s="46"/>
      <c r="AO259" s="46"/>
      <c r="AP259" s="46"/>
      <c r="AQ259" s="41"/>
    </row>
    <row r="260" spans="9:43" x14ac:dyDescent="0.3">
      <c r="I260" s="70">
        <f t="shared" ca="1" si="6"/>
        <v>125</v>
      </c>
      <c r="J260" s="46"/>
      <c r="K260" s="46"/>
      <c r="L260" s="46"/>
      <c r="M260" s="46"/>
      <c r="N260" s="46"/>
      <c r="O260" s="46"/>
      <c r="P260" s="46"/>
      <c r="Q260" s="46"/>
      <c r="R260" s="46"/>
      <c r="S260" s="46"/>
      <c r="T260" s="46"/>
      <c r="W260" s="46"/>
      <c r="X260" s="46"/>
      <c r="Y260" s="46"/>
      <c r="Z260" s="46"/>
      <c r="AB260" s="46"/>
      <c r="AC260" s="46"/>
      <c r="AD260" s="46"/>
      <c r="AE260" s="46"/>
      <c r="AF260" s="46"/>
      <c r="AG260" s="46"/>
      <c r="AH260" s="46"/>
      <c r="AI260" s="46"/>
      <c r="AJ260" s="46"/>
      <c r="AK260" s="46"/>
      <c r="AL260" s="46"/>
      <c r="AM260" s="46"/>
      <c r="AN260" s="46"/>
      <c r="AO260" s="46"/>
      <c r="AP260" s="46"/>
      <c r="AQ260" s="41"/>
    </row>
    <row r="261" spans="9:43" x14ac:dyDescent="0.3">
      <c r="I261" s="70">
        <f t="shared" ca="1" si="6"/>
        <v>125</v>
      </c>
      <c r="J261" s="46"/>
      <c r="K261" s="46"/>
      <c r="L261" s="46"/>
      <c r="M261" s="46"/>
      <c r="N261" s="46"/>
      <c r="O261" s="46"/>
      <c r="P261" s="46"/>
      <c r="Q261" s="46"/>
      <c r="R261" s="46"/>
      <c r="S261" s="46"/>
      <c r="T261" s="46"/>
      <c r="W261" s="46"/>
      <c r="X261" s="46"/>
      <c r="Y261" s="46"/>
      <c r="Z261" s="46"/>
      <c r="AB261" s="46"/>
      <c r="AC261" s="46"/>
      <c r="AD261" s="46"/>
      <c r="AE261" s="46"/>
      <c r="AF261" s="46"/>
      <c r="AG261" s="46"/>
      <c r="AH261" s="46"/>
      <c r="AI261" s="46"/>
      <c r="AJ261" s="46"/>
      <c r="AK261" s="46"/>
      <c r="AL261" s="46"/>
      <c r="AM261" s="46"/>
      <c r="AN261" s="46"/>
      <c r="AO261" s="46"/>
      <c r="AP261" s="46"/>
      <c r="AQ261" s="41"/>
    </row>
    <row r="262" spans="9:43" x14ac:dyDescent="0.3">
      <c r="I262" s="70">
        <f t="shared" ca="1" si="6"/>
        <v>125</v>
      </c>
      <c r="J262" s="46"/>
      <c r="K262" s="46"/>
      <c r="L262" s="46"/>
      <c r="M262" s="46"/>
      <c r="N262" s="46"/>
      <c r="O262" s="46"/>
      <c r="P262" s="46"/>
      <c r="Q262" s="46"/>
      <c r="R262" s="46"/>
      <c r="S262" s="46"/>
      <c r="T262" s="46"/>
      <c r="W262" s="46"/>
      <c r="X262" s="46"/>
      <c r="Y262" s="46"/>
      <c r="Z262" s="46"/>
      <c r="AB262" s="46"/>
      <c r="AC262" s="46"/>
      <c r="AD262" s="46"/>
      <c r="AE262" s="46"/>
      <c r="AF262" s="46"/>
      <c r="AG262" s="46"/>
      <c r="AH262" s="46"/>
      <c r="AI262" s="46"/>
      <c r="AJ262" s="46"/>
      <c r="AK262" s="46"/>
      <c r="AL262" s="46"/>
      <c r="AM262" s="46"/>
      <c r="AN262" s="46"/>
      <c r="AO262" s="46"/>
      <c r="AP262" s="46"/>
      <c r="AQ262" s="41"/>
    </row>
    <row r="263" spans="9:43" x14ac:dyDescent="0.3">
      <c r="I263" s="70">
        <f t="shared" ca="1" si="6"/>
        <v>125</v>
      </c>
      <c r="J263" s="46"/>
      <c r="K263" s="46"/>
      <c r="L263" s="46"/>
      <c r="M263" s="46"/>
      <c r="N263" s="46"/>
      <c r="O263" s="46"/>
      <c r="P263" s="46"/>
      <c r="Q263" s="46"/>
      <c r="R263" s="46"/>
      <c r="S263" s="46"/>
      <c r="T263" s="46"/>
      <c r="W263" s="46"/>
      <c r="X263" s="46"/>
      <c r="Y263" s="46"/>
      <c r="Z263" s="46"/>
      <c r="AB263" s="46"/>
      <c r="AC263" s="46"/>
      <c r="AD263" s="46"/>
      <c r="AE263" s="46"/>
      <c r="AF263" s="46"/>
      <c r="AG263" s="46"/>
      <c r="AH263" s="46"/>
      <c r="AI263" s="46"/>
      <c r="AJ263" s="46"/>
      <c r="AK263" s="46"/>
      <c r="AL263" s="46"/>
      <c r="AM263" s="46"/>
      <c r="AN263" s="46"/>
      <c r="AO263" s="46"/>
      <c r="AP263" s="46"/>
      <c r="AQ263" s="41"/>
    </row>
    <row r="264" spans="9:43" x14ac:dyDescent="0.3">
      <c r="I264" s="70">
        <f t="shared" ca="1" si="6"/>
        <v>125</v>
      </c>
      <c r="J264" s="46"/>
      <c r="K264" s="46"/>
      <c r="L264" s="46"/>
      <c r="M264" s="46"/>
      <c r="N264" s="46"/>
      <c r="O264" s="46"/>
      <c r="P264" s="46"/>
      <c r="Q264" s="46"/>
      <c r="R264" s="46"/>
      <c r="S264" s="46"/>
      <c r="T264" s="46"/>
      <c r="W264" s="46"/>
      <c r="X264" s="46"/>
      <c r="Y264" s="46"/>
      <c r="Z264" s="46"/>
      <c r="AB264" s="46"/>
      <c r="AC264" s="46"/>
      <c r="AD264" s="46"/>
      <c r="AE264" s="46"/>
      <c r="AF264" s="46"/>
      <c r="AG264" s="46"/>
      <c r="AH264" s="46"/>
      <c r="AI264" s="46"/>
      <c r="AJ264" s="46"/>
      <c r="AK264" s="46"/>
      <c r="AL264" s="46"/>
      <c r="AM264" s="46"/>
      <c r="AN264" s="46"/>
      <c r="AO264" s="46"/>
      <c r="AP264" s="46"/>
      <c r="AQ264" s="41"/>
    </row>
    <row r="265" spans="9:43" x14ac:dyDescent="0.3">
      <c r="I265" s="70">
        <f t="shared" ca="1" si="6"/>
        <v>125</v>
      </c>
      <c r="J265" s="46"/>
      <c r="K265" s="46"/>
      <c r="L265" s="46"/>
      <c r="M265" s="46"/>
      <c r="N265" s="46"/>
      <c r="O265" s="46"/>
      <c r="P265" s="46"/>
      <c r="Q265" s="46"/>
      <c r="R265" s="46"/>
      <c r="S265" s="46"/>
      <c r="T265" s="46"/>
      <c r="W265" s="46"/>
      <c r="X265" s="46"/>
      <c r="Y265" s="46"/>
      <c r="Z265" s="46"/>
      <c r="AB265" s="46"/>
      <c r="AC265" s="46"/>
      <c r="AD265" s="46"/>
      <c r="AE265" s="46"/>
      <c r="AF265" s="46"/>
      <c r="AG265" s="46"/>
      <c r="AH265" s="46"/>
      <c r="AI265" s="46"/>
      <c r="AJ265" s="46"/>
      <c r="AK265" s="46"/>
      <c r="AL265" s="46"/>
      <c r="AM265" s="46"/>
      <c r="AN265" s="46"/>
      <c r="AO265" s="46"/>
      <c r="AP265" s="46"/>
      <c r="AQ265" s="41"/>
    </row>
    <row r="266" spans="9:43" x14ac:dyDescent="0.3">
      <c r="I266" s="70">
        <f t="shared" ca="1" si="6"/>
        <v>125</v>
      </c>
      <c r="J266" s="46"/>
      <c r="K266" s="46"/>
      <c r="L266" s="46"/>
      <c r="M266" s="46"/>
      <c r="N266" s="46"/>
      <c r="O266" s="46"/>
      <c r="P266" s="46"/>
      <c r="Q266" s="46"/>
      <c r="R266" s="46"/>
      <c r="S266" s="46"/>
      <c r="T266" s="46"/>
      <c r="W266" s="46"/>
      <c r="X266" s="46"/>
      <c r="Y266" s="46"/>
      <c r="Z266" s="46"/>
      <c r="AB266" s="46"/>
      <c r="AC266" s="46"/>
      <c r="AD266" s="46"/>
      <c r="AE266" s="46"/>
      <c r="AF266" s="46"/>
      <c r="AG266" s="46"/>
      <c r="AH266" s="46"/>
      <c r="AI266" s="46"/>
      <c r="AJ266" s="46"/>
      <c r="AK266" s="46"/>
      <c r="AL266" s="46"/>
      <c r="AM266" s="46"/>
      <c r="AN266" s="46"/>
      <c r="AO266" s="46"/>
      <c r="AP266" s="46"/>
      <c r="AQ266" s="41"/>
    </row>
    <row r="267" spans="9:43" x14ac:dyDescent="0.3">
      <c r="I267" s="70">
        <f t="shared" ca="1" si="6"/>
        <v>125</v>
      </c>
      <c r="J267" s="46"/>
      <c r="K267" s="46"/>
      <c r="L267" s="46"/>
      <c r="M267" s="46"/>
      <c r="N267" s="46"/>
      <c r="O267" s="46"/>
      <c r="P267" s="46"/>
      <c r="Q267" s="46"/>
      <c r="R267" s="46"/>
      <c r="S267" s="46"/>
      <c r="T267" s="46"/>
      <c r="W267" s="46"/>
      <c r="X267" s="46"/>
      <c r="Y267" s="46"/>
      <c r="Z267" s="46"/>
      <c r="AB267" s="46"/>
      <c r="AC267" s="46"/>
      <c r="AD267" s="46"/>
      <c r="AE267" s="46"/>
      <c r="AF267" s="46"/>
      <c r="AG267" s="46"/>
      <c r="AH267" s="46"/>
      <c r="AI267" s="46"/>
      <c r="AJ267" s="46"/>
      <c r="AK267" s="46"/>
      <c r="AL267" s="46"/>
      <c r="AM267" s="46"/>
      <c r="AN267" s="46"/>
      <c r="AO267" s="46"/>
      <c r="AP267" s="46"/>
      <c r="AQ267" s="41"/>
    </row>
    <row r="268" spans="9:43" x14ac:dyDescent="0.3">
      <c r="I268" s="70">
        <f t="shared" ca="1" si="6"/>
        <v>125</v>
      </c>
      <c r="J268" s="46"/>
      <c r="K268" s="46"/>
      <c r="L268" s="46"/>
      <c r="M268" s="46"/>
      <c r="N268" s="46"/>
      <c r="O268" s="46"/>
      <c r="P268" s="46"/>
      <c r="Q268" s="46"/>
      <c r="R268" s="46"/>
      <c r="S268" s="46"/>
      <c r="T268" s="46"/>
      <c r="W268" s="46"/>
      <c r="X268" s="46"/>
      <c r="Y268" s="46"/>
      <c r="Z268" s="46"/>
      <c r="AB268" s="46"/>
      <c r="AC268" s="46"/>
      <c r="AD268" s="46"/>
      <c r="AE268" s="46"/>
      <c r="AF268" s="46"/>
      <c r="AG268" s="46"/>
      <c r="AH268" s="46"/>
      <c r="AI268" s="46"/>
      <c r="AJ268" s="46"/>
      <c r="AK268" s="46"/>
      <c r="AL268" s="46"/>
      <c r="AM268" s="46"/>
      <c r="AN268" s="46"/>
      <c r="AO268" s="46"/>
      <c r="AP268" s="46"/>
      <c r="AQ268" s="41"/>
    </row>
    <row r="269" spans="9:43" x14ac:dyDescent="0.3">
      <c r="I269" s="70">
        <f t="shared" ca="1" si="6"/>
        <v>125</v>
      </c>
      <c r="J269" s="46"/>
      <c r="K269" s="46"/>
      <c r="L269" s="46"/>
      <c r="M269" s="46"/>
      <c r="N269" s="46"/>
      <c r="O269" s="46"/>
      <c r="P269" s="46"/>
      <c r="Q269" s="46"/>
      <c r="R269" s="46"/>
      <c r="S269" s="46"/>
      <c r="T269" s="46"/>
      <c r="W269" s="46"/>
      <c r="X269" s="46"/>
      <c r="Y269" s="46"/>
      <c r="Z269" s="46"/>
      <c r="AB269" s="46"/>
      <c r="AC269" s="46"/>
      <c r="AD269" s="46"/>
      <c r="AE269" s="46"/>
      <c r="AF269" s="46"/>
      <c r="AG269" s="46"/>
      <c r="AH269" s="46"/>
      <c r="AI269" s="46"/>
      <c r="AJ269" s="46"/>
      <c r="AK269" s="46"/>
      <c r="AL269" s="46"/>
      <c r="AM269" s="46"/>
      <c r="AN269" s="46"/>
      <c r="AO269" s="46"/>
      <c r="AP269" s="46"/>
      <c r="AQ269" s="41"/>
    </row>
    <row r="270" spans="9:43" x14ac:dyDescent="0.3">
      <c r="I270" s="70">
        <f t="shared" ca="1" si="6"/>
        <v>125</v>
      </c>
      <c r="J270" s="46"/>
      <c r="K270" s="46"/>
      <c r="L270" s="46"/>
      <c r="M270" s="46"/>
      <c r="N270" s="46"/>
      <c r="O270" s="46"/>
      <c r="P270" s="46"/>
      <c r="Q270" s="46"/>
      <c r="R270" s="46"/>
      <c r="S270" s="46"/>
      <c r="T270" s="46"/>
      <c r="W270" s="46"/>
      <c r="X270" s="46"/>
      <c r="Y270" s="46"/>
      <c r="Z270" s="46"/>
      <c r="AB270" s="46"/>
      <c r="AC270" s="46"/>
      <c r="AD270" s="46"/>
      <c r="AE270" s="46"/>
      <c r="AF270" s="46"/>
      <c r="AG270" s="46"/>
      <c r="AH270" s="46"/>
      <c r="AI270" s="46"/>
      <c r="AJ270" s="46"/>
      <c r="AK270" s="46"/>
      <c r="AL270" s="46"/>
      <c r="AM270" s="46"/>
      <c r="AN270" s="46"/>
      <c r="AO270" s="46"/>
      <c r="AP270" s="46"/>
      <c r="AQ270" s="41"/>
    </row>
    <row r="271" spans="9:43" x14ac:dyDescent="0.3">
      <c r="I271" s="70">
        <f t="shared" ca="1" si="6"/>
        <v>125</v>
      </c>
      <c r="J271" s="46"/>
      <c r="K271" s="46"/>
      <c r="L271" s="46"/>
      <c r="M271" s="46"/>
      <c r="N271" s="46"/>
      <c r="O271" s="46"/>
      <c r="P271" s="46"/>
      <c r="Q271" s="46"/>
      <c r="R271" s="46"/>
      <c r="S271" s="46"/>
      <c r="T271" s="46"/>
      <c r="W271" s="46"/>
      <c r="X271" s="46"/>
      <c r="Y271" s="46"/>
      <c r="Z271" s="46"/>
      <c r="AB271" s="46"/>
      <c r="AC271" s="46"/>
      <c r="AD271" s="46"/>
      <c r="AE271" s="46"/>
      <c r="AF271" s="46"/>
      <c r="AG271" s="46"/>
      <c r="AH271" s="46"/>
      <c r="AI271" s="46"/>
      <c r="AJ271" s="46"/>
      <c r="AK271" s="46"/>
      <c r="AL271" s="46"/>
      <c r="AM271" s="46"/>
      <c r="AN271" s="46"/>
      <c r="AO271" s="46"/>
      <c r="AP271" s="46"/>
      <c r="AQ271" s="41"/>
    </row>
    <row r="272" spans="9:43" x14ac:dyDescent="0.3">
      <c r="I272" s="70">
        <f t="shared" ca="1" si="6"/>
        <v>125</v>
      </c>
      <c r="J272" s="46"/>
      <c r="K272" s="46"/>
      <c r="L272" s="46"/>
      <c r="M272" s="46"/>
      <c r="N272" s="46"/>
      <c r="O272" s="46"/>
      <c r="P272" s="46"/>
      <c r="Q272" s="46"/>
      <c r="R272" s="46"/>
      <c r="S272" s="46"/>
      <c r="T272" s="46"/>
      <c r="W272" s="46"/>
      <c r="X272" s="46"/>
      <c r="Y272" s="46"/>
      <c r="Z272" s="46"/>
      <c r="AB272" s="46"/>
      <c r="AC272" s="46"/>
      <c r="AD272" s="46"/>
      <c r="AE272" s="46"/>
      <c r="AF272" s="46"/>
      <c r="AG272" s="46"/>
      <c r="AH272" s="46"/>
      <c r="AI272" s="46"/>
      <c r="AJ272" s="46"/>
      <c r="AK272" s="46"/>
      <c r="AL272" s="46"/>
      <c r="AM272" s="46"/>
      <c r="AN272" s="46"/>
      <c r="AO272" s="46"/>
      <c r="AP272" s="46"/>
      <c r="AQ272" s="41"/>
    </row>
    <row r="273" spans="9:43" x14ac:dyDescent="0.3">
      <c r="I273" s="70">
        <f t="shared" ca="1" si="6"/>
        <v>125</v>
      </c>
      <c r="J273" s="46"/>
      <c r="K273" s="46"/>
      <c r="L273" s="46"/>
      <c r="M273" s="46"/>
      <c r="N273" s="46"/>
      <c r="O273" s="46"/>
      <c r="P273" s="46"/>
      <c r="Q273" s="46"/>
      <c r="R273" s="46"/>
      <c r="S273" s="46"/>
      <c r="T273" s="46"/>
      <c r="W273" s="46"/>
      <c r="X273" s="46"/>
      <c r="Y273" s="46"/>
      <c r="Z273" s="46"/>
      <c r="AB273" s="46"/>
      <c r="AC273" s="46"/>
      <c r="AD273" s="46"/>
      <c r="AE273" s="46"/>
      <c r="AF273" s="46"/>
      <c r="AG273" s="46"/>
      <c r="AH273" s="46"/>
      <c r="AI273" s="46"/>
      <c r="AJ273" s="46"/>
      <c r="AK273" s="46"/>
      <c r="AL273" s="46"/>
      <c r="AM273" s="46"/>
      <c r="AN273" s="46"/>
      <c r="AO273" s="46"/>
      <c r="AP273" s="46"/>
      <c r="AQ273" s="41"/>
    </row>
    <row r="274" spans="9:43" x14ac:dyDescent="0.3">
      <c r="I274" s="70">
        <f t="shared" ref="I274:I337" ca="1" si="7">INT((TODAY()-H274)/365.25)</f>
        <v>125</v>
      </c>
      <c r="J274" s="46"/>
      <c r="K274" s="46"/>
      <c r="L274" s="46"/>
      <c r="M274" s="46"/>
      <c r="N274" s="46"/>
      <c r="O274" s="46"/>
      <c r="P274" s="46"/>
      <c r="Q274" s="46"/>
      <c r="R274" s="46"/>
      <c r="S274" s="46"/>
      <c r="T274" s="46"/>
      <c r="W274" s="46"/>
      <c r="X274" s="46"/>
      <c r="Y274" s="46"/>
      <c r="Z274" s="46"/>
      <c r="AB274" s="46"/>
      <c r="AC274" s="46"/>
      <c r="AD274" s="46"/>
      <c r="AE274" s="46"/>
      <c r="AF274" s="46"/>
      <c r="AG274" s="46"/>
      <c r="AH274" s="46"/>
      <c r="AI274" s="46"/>
      <c r="AJ274" s="46"/>
      <c r="AK274" s="46"/>
      <c r="AL274" s="46"/>
      <c r="AM274" s="46"/>
      <c r="AN274" s="46"/>
      <c r="AO274" s="46"/>
      <c r="AP274" s="46"/>
      <c r="AQ274" s="41"/>
    </row>
    <row r="275" spans="9:43" x14ac:dyDescent="0.3">
      <c r="I275" s="70">
        <f t="shared" ca="1" si="7"/>
        <v>125</v>
      </c>
      <c r="J275" s="46"/>
      <c r="K275" s="46"/>
      <c r="L275" s="46"/>
      <c r="M275" s="46"/>
      <c r="N275" s="46"/>
      <c r="O275" s="46"/>
      <c r="P275" s="46"/>
      <c r="Q275" s="46"/>
      <c r="R275" s="46"/>
      <c r="S275" s="46"/>
      <c r="T275" s="46"/>
      <c r="W275" s="46"/>
      <c r="X275" s="46"/>
      <c r="Y275" s="46"/>
      <c r="Z275" s="46"/>
      <c r="AB275" s="46"/>
      <c r="AC275" s="46"/>
      <c r="AD275" s="46"/>
      <c r="AE275" s="46"/>
      <c r="AF275" s="46"/>
      <c r="AG275" s="46"/>
      <c r="AH275" s="46"/>
      <c r="AI275" s="46"/>
      <c r="AJ275" s="46"/>
      <c r="AK275" s="46"/>
      <c r="AL275" s="46"/>
      <c r="AM275" s="46"/>
      <c r="AN275" s="46"/>
      <c r="AO275" s="46"/>
      <c r="AP275" s="46"/>
      <c r="AQ275" s="41"/>
    </row>
    <row r="276" spans="9:43" x14ac:dyDescent="0.3">
      <c r="I276" s="70">
        <f t="shared" ca="1" si="7"/>
        <v>125</v>
      </c>
      <c r="J276" s="46"/>
      <c r="K276" s="46"/>
      <c r="L276" s="46"/>
      <c r="M276" s="46"/>
      <c r="N276" s="46"/>
      <c r="O276" s="46"/>
      <c r="P276" s="46"/>
      <c r="Q276" s="46"/>
      <c r="R276" s="46"/>
      <c r="S276" s="46"/>
      <c r="T276" s="46"/>
      <c r="W276" s="46"/>
      <c r="X276" s="46"/>
      <c r="Y276" s="46"/>
      <c r="Z276" s="46"/>
      <c r="AB276" s="46"/>
      <c r="AC276" s="46"/>
      <c r="AD276" s="46"/>
      <c r="AE276" s="46"/>
      <c r="AF276" s="46"/>
      <c r="AG276" s="46"/>
      <c r="AH276" s="46"/>
      <c r="AI276" s="46"/>
      <c r="AJ276" s="46"/>
      <c r="AK276" s="46"/>
      <c r="AL276" s="46"/>
      <c r="AM276" s="46"/>
      <c r="AN276" s="46"/>
      <c r="AO276" s="46"/>
      <c r="AP276" s="46"/>
      <c r="AQ276" s="41"/>
    </row>
    <row r="277" spans="9:43" x14ac:dyDescent="0.3">
      <c r="I277" s="70">
        <f t="shared" ca="1" si="7"/>
        <v>125</v>
      </c>
      <c r="J277" s="46"/>
      <c r="K277" s="46"/>
      <c r="L277" s="46"/>
      <c r="M277" s="46"/>
      <c r="N277" s="46"/>
      <c r="O277" s="46"/>
      <c r="P277" s="46"/>
      <c r="Q277" s="46"/>
      <c r="R277" s="46"/>
      <c r="S277" s="46"/>
      <c r="T277" s="46"/>
      <c r="W277" s="46"/>
      <c r="X277" s="46"/>
      <c r="Y277" s="46"/>
      <c r="Z277" s="46"/>
      <c r="AB277" s="46"/>
      <c r="AC277" s="46"/>
      <c r="AD277" s="46"/>
      <c r="AE277" s="46"/>
      <c r="AF277" s="46"/>
      <c r="AG277" s="46"/>
      <c r="AH277" s="46"/>
      <c r="AI277" s="46"/>
      <c r="AJ277" s="46"/>
      <c r="AK277" s="46"/>
      <c r="AL277" s="46"/>
      <c r="AM277" s="46"/>
      <c r="AN277" s="46"/>
      <c r="AO277" s="46"/>
      <c r="AP277" s="46"/>
      <c r="AQ277" s="41"/>
    </row>
    <row r="278" spans="9:43" x14ac:dyDescent="0.3">
      <c r="I278" s="70">
        <f t="shared" ca="1" si="7"/>
        <v>125</v>
      </c>
      <c r="J278" s="46"/>
      <c r="K278" s="46"/>
      <c r="L278" s="46"/>
      <c r="M278" s="46"/>
      <c r="N278" s="46"/>
      <c r="O278" s="46"/>
      <c r="P278" s="46"/>
      <c r="Q278" s="46"/>
      <c r="R278" s="46"/>
      <c r="S278" s="46"/>
      <c r="T278" s="46"/>
      <c r="W278" s="46"/>
      <c r="X278" s="46"/>
      <c r="Y278" s="46"/>
      <c r="Z278" s="46"/>
      <c r="AB278" s="46"/>
      <c r="AC278" s="46"/>
      <c r="AD278" s="46"/>
      <c r="AE278" s="46"/>
      <c r="AF278" s="46"/>
      <c r="AG278" s="46"/>
      <c r="AH278" s="46"/>
      <c r="AI278" s="46"/>
      <c r="AJ278" s="46"/>
      <c r="AK278" s="46"/>
      <c r="AL278" s="46"/>
      <c r="AM278" s="46"/>
      <c r="AN278" s="46"/>
      <c r="AO278" s="46"/>
      <c r="AP278" s="46"/>
      <c r="AQ278" s="41"/>
    </row>
    <row r="279" spans="9:43" x14ac:dyDescent="0.3">
      <c r="I279" s="70">
        <f t="shared" ca="1" si="7"/>
        <v>125</v>
      </c>
      <c r="J279" s="46"/>
      <c r="K279" s="46"/>
      <c r="L279" s="46"/>
      <c r="M279" s="46"/>
      <c r="N279" s="46"/>
      <c r="O279" s="46"/>
      <c r="P279" s="46"/>
      <c r="Q279" s="46"/>
      <c r="R279" s="46"/>
      <c r="S279" s="46"/>
      <c r="T279" s="46"/>
      <c r="W279" s="46"/>
      <c r="X279" s="46"/>
      <c r="Y279" s="46"/>
      <c r="Z279" s="46"/>
      <c r="AB279" s="46"/>
      <c r="AC279" s="46"/>
      <c r="AD279" s="46"/>
      <c r="AE279" s="46"/>
      <c r="AF279" s="46"/>
      <c r="AG279" s="46"/>
      <c r="AH279" s="46"/>
      <c r="AI279" s="46"/>
      <c r="AJ279" s="46"/>
      <c r="AK279" s="46"/>
      <c r="AL279" s="46"/>
      <c r="AM279" s="46"/>
      <c r="AN279" s="46"/>
      <c r="AO279" s="46"/>
      <c r="AP279" s="46"/>
      <c r="AQ279" s="41"/>
    </row>
    <row r="280" spans="9:43" x14ac:dyDescent="0.3">
      <c r="I280" s="70">
        <f t="shared" ca="1" si="7"/>
        <v>125</v>
      </c>
      <c r="J280" s="46"/>
      <c r="K280" s="46"/>
      <c r="L280" s="46"/>
      <c r="M280" s="46"/>
      <c r="N280" s="46"/>
      <c r="O280" s="46"/>
      <c r="P280" s="46"/>
      <c r="Q280" s="46"/>
      <c r="R280" s="46"/>
      <c r="S280" s="46"/>
      <c r="T280" s="46"/>
      <c r="W280" s="46"/>
      <c r="X280" s="46"/>
      <c r="Y280" s="46"/>
      <c r="Z280" s="46"/>
      <c r="AB280" s="46"/>
      <c r="AC280" s="46"/>
      <c r="AD280" s="46"/>
      <c r="AE280" s="46"/>
      <c r="AF280" s="46"/>
      <c r="AG280" s="46"/>
      <c r="AH280" s="46"/>
      <c r="AI280" s="46"/>
      <c r="AJ280" s="46"/>
      <c r="AK280" s="46"/>
      <c r="AL280" s="46"/>
      <c r="AM280" s="46"/>
      <c r="AN280" s="46"/>
      <c r="AO280" s="46"/>
      <c r="AP280" s="46"/>
      <c r="AQ280" s="41"/>
    </row>
    <row r="281" spans="9:43" x14ac:dyDescent="0.3">
      <c r="I281" s="70">
        <f t="shared" ca="1" si="7"/>
        <v>125</v>
      </c>
      <c r="J281" s="46"/>
      <c r="K281" s="46"/>
      <c r="L281" s="46"/>
      <c r="M281" s="46"/>
      <c r="N281" s="46"/>
      <c r="O281" s="46"/>
      <c r="P281" s="46"/>
      <c r="Q281" s="46"/>
      <c r="R281" s="46"/>
      <c r="S281" s="46"/>
      <c r="T281" s="46"/>
      <c r="W281" s="46"/>
      <c r="X281" s="46"/>
      <c r="Y281" s="46"/>
      <c r="Z281" s="46"/>
      <c r="AB281" s="46"/>
      <c r="AC281" s="46"/>
      <c r="AD281" s="46"/>
      <c r="AE281" s="46"/>
      <c r="AF281" s="46"/>
      <c r="AG281" s="46"/>
      <c r="AH281" s="46"/>
      <c r="AI281" s="46"/>
      <c r="AJ281" s="46"/>
      <c r="AK281" s="46"/>
      <c r="AL281" s="46"/>
      <c r="AM281" s="46"/>
      <c r="AN281" s="46"/>
      <c r="AO281" s="46"/>
      <c r="AP281" s="46"/>
      <c r="AQ281" s="41"/>
    </row>
    <row r="282" spans="9:43" x14ac:dyDescent="0.3">
      <c r="I282" s="70">
        <f t="shared" ca="1" si="7"/>
        <v>125</v>
      </c>
      <c r="J282" s="46"/>
      <c r="K282" s="46"/>
      <c r="L282" s="46"/>
      <c r="M282" s="46"/>
      <c r="N282" s="46"/>
      <c r="O282" s="46"/>
      <c r="P282" s="46"/>
      <c r="Q282" s="46"/>
      <c r="R282" s="46"/>
      <c r="S282" s="46"/>
      <c r="T282" s="46"/>
      <c r="W282" s="46"/>
      <c r="X282" s="46"/>
      <c r="Y282" s="46"/>
      <c r="Z282" s="46"/>
      <c r="AB282" s="46"/>
      <c r="AC282" s="46"/>
      <c r="AD282" s="46"/>
      <c r="AE282" s="46"/>
      <c r="AF282" s="46"/>
      <c r="AG282" s="46"/>
      <c r="AH282" s="46"/>
      <c r="AI282" s="46"/>
      <c r="AJ282" s="46"/>
      <c r="AK282" s="46"/>
      <c r="AL282" s="46"/>
      <c r="AM282" s="46"/>
      <c r="AN282" s="46"/>
      <c r="AO282" s="46"/>
      <c r="AP282" s="46"/>
      <c r="AQ282" s="41"/>
    </row>
    <row r="283" spans="9:43" x14ac:dyDescent="0.3">
      <c r="I283" s="70">
        <f t="shared" ca="1" si="7"/>
        <v>125</v>
      </c>
      <c r="J283" s="46"/>
      <c r="K283" s="46"/>
      <c r="L283" s="46"/>
      <c r="M283" s="46"/>
      <c r="N283" s="46"/>
      <c r="O283" s="46"/>
      <c r="P283" s="46"/>
      <c r="Q283" s="46"/>
      <c r="R283" s="46"/>
      <c r="S283" s="46"/>
      <c r="T283" s="46"/>
      <c r="W283" s="46"/>
      <c r="X283" s="46"/>
      <c r="Y283" s="46"/>
      <c r="Z283" s="46"/>
      <c r="AB283" s="46"/>
      <c r="AC283" s="46"/>
      <c r="AD283" s="46"/>
      <c r="AE283" s="46"/>
      <c r="AF283" s="46"/>
      <c r="AG283" s="46"/>
      <c r="AH283" s="46"/>
      <c r="AI283" s="46"/>
      <c r="AJ283" s="46"/>
      <c r="AK283" s="46"/>
      <c r="AL283" s="46"/>
      <c r="AM283" s="46"/>
      <c r="AN283" s="46"/>
      <c r="AO283" s="46"/>
      <c r="AP283" s="46"/>
      <c r="AQ283" s="41"/>
    </row>
    <row r="284" spans="9:43" x14ac:dyDescent="0.3">
      <c r="I284" s="70">
        <f t="shared" ca="1" si="7"/>
        <v>125</v>
      </c>
      <c r="J284" s="46"/>
      <c r="K284" s="46"/>
      <c r="L284" s="46"/>
      <c r="M284" s="46"/>
      <c r="N284" s="46"/>
      <c r="O284" s="46"/>
      <c r="P284" s="46"/>
      <c r="Q284" s="46"/>
      <c r="R284" s="46"/>
      <c r="S284" s="46"/>
      <c r="T284" s="46"/>
      <c r="W284" s="46"/>
      <c r="X284" s="46"/>
      <c r="Y284" s="46"/>
      <c r="Z284" s="46"/>
      <c r="AB284" s="46"/>
      <c r="AC284" s="46"/>
      <c r="AD284" s="46"/>
      <c r="AE284" s="46"/>
      <c r="AF284" s="46"/>
      <c r="AG284" s="46"/>
      <c r="AH284" s="46"/>
      <c r="AI284" s="46"/>
      <c r="AJ284" s="46"/>
      <c r="AK284" s="46"/>
      <c r="AL284" s="46"/>
      <c r="AM284" s="46"/>
      <c r="AN284" s="46"/>
      <c r="AO284" s="46"/>
      <c r="AP284" s="46"/>
      <c r="AQ284" s="41"/>
    </row>
    <row r="285" spans="9:43" x14ac:dyDescent="0.3">
      <c r="I285" s="70">
        <f t="shared" ca="1" si="7"/>
        <v>125</v>
      </c>
      <c r="J285" s="46"/>
      <c r="K285" s="46"/>
      <c r="L285" s="46"/>
      <c r="M285" s="46"/>
      <c r="N285" s="46"/>
      <c r="O285" s="46"/>
      <c r="P285" s="46"/>
      <c r="Q285" s="46"/>
      <c r="R285" s="46"/>
      <c r="S285" s="46"/>
      <c r="T285" s="46"/>
      <c r="W285" s="46"/>
      <c r="X285" s="46"/>
      <c r="Y285" s="46"/>
      <c r="Z285" s="46"/>
      <c r="AB285" s="46"/>
      <c r="AC285" s="46"/>
      <c r="AD285" s="46"/>
      <c r="AE285" s="46"/>
      <c r="AF285" s="46"/>
      <c r="AG285" s="46"/>
      <c r="AH285" s="46"/>
      <c r="AI285" s="46"/>
      <c r="AJ285" s="46"/>
      <c r="AK285" s="46"/>
      <c r="AL285" s="46"/>
      <c r="AM285" s="46"/>
      <c r="AN285" s="46"/>
      <c r="AO285" s="46"/>
      <c r="AP285" s="46"/>
      <c r="AQ285" s="41"/>
    </row>
    <row r="286" spans="9:43" x14ac:dyDescent="0.3">
      <c r="I286" s="70">
        <f t="shared" ca="1" si="7"/>
        <v>125</v>
      </c>
      <c r="J286" s="46"/>
      <c r="K286" s="46"/>
      <c r="L286" s="46"/>
      <c r="M286" s="46"/>
      <c r="N286" s="46"/>
      <c r="O286" s="46"/>
      <c r="P286" s="46"/>
      <c r="Q286" s="46"/>
      <c r="R286" s="46"/>
      <c r="S286" s="46"/>
      <c r="T286" s="46"/>
      <c r="W286" s="46"/>
      <c r="X286" s="46"/>
      <c r="Y286" s="46"/>
      <c r="Z286" s="46"/>
      <c r="AB286" s="46"/>
      <c r="AC286" s="46"/>
      <c r="AD286" s="46"/>
      <c r="AE286" s="46"/>
      <c r="AF286" s="46"/>
      <c r="AG286" s="46"/>
      <c r="AH286" s="46"/>
      <c r="AI286" s="46"/>
      <c r="AJ286" s="46"/>
      <c r="AK286" s="46"/>
      <c r="AL286" s="46"/>
      <c r="AM286" s="46"/>
      <c r="AN286" s="46"/>
      <c r="AO286" s="46"/>
      <c r="AP286" s="46"/>
      <c r="AQ286" s="41"/>
    </row>
    <row r="287" spans="9:43" x14ac:dyDescent="0.3">
      <c r="I287" s="70">
        <f t="shared" ca="1" si="7"/>
        <v>125</v>
      </c>
      <c r="J287" s="46"/>
      <c r="K287" s="46"/>
      <c r="L287" s="46"/>
      <c r="M287" s="46"/>
      <c r="N287" s="46"/>
      <c r="O287" s="46"/>
      <c r="P287" s="46"/>
      <c r="Q287" s="46"/>
      <c r="R287" s="46"/>
      <c r="S287" s="46"/>
      <c r="T287" s="46"/>
      <c r="W287" s="46"/>
      <c r="X287" s="46"/>
      <c r="Y287" s="46"/>
      <c r="Z287" s="46"/>
      <c r="AB287" s="46"/>
      <c r="AC287" s="46"/>
      <c r="AD287" s="46"/>
      <c r="AE287" s="46"/>
      <c r="AF287" s="46"/>
      <c r="AG287" s="46"/>
      <c r="AH287" s="46"/>
      <c r="AI287" s="46"/>
      <c r="AJ287" s="46"/>
      <c r="AK287" s="46"/>
      <c r="AL287" s="46"/>
      <c r="AM287" s="46"/>
      <c r="AN287" s="46"/>
      <c r="AO287" s="46"/>
      <c r="AP287" s="46"/>
      <c r="AQ287" s="41"/>
    </row>
    <row r="288" spans="9:43" x14ac:dyDescent="0.3">
      <c r="I288" s="70">
        <f t="shared" ca="1" si="7"/>
        <v>125</v>
      </c>
      <c r="J288" s="46"/>
      <c r="K288" s="46"/>
      <c r="L288" s="46"/>
      <c r="M288" s="46"/>
      <c r="N288" s="46"/>
      <c r="O288" s="46"/>
      <c r="P288" s="46"/>
      <c r="Q288" s="46"/>
      <c r="R288" s="46"/>
      <c r="S288" s="46"/>
      <c r="T288" s="46"/>
      <c r="W288" s="46"/>
      <c r="X288" s="46"/>
      <c r="Y288" s="46"/>
      <c r="Z288" s="46"/>
      <c r="AB288" s="46"/>
      <c r="AC288" s="46"/>
      <c r="AD288" s="46"/>
      <c r="AE288" s="46"/>
      <c r="AF288" s="46"/>
      <c r="AG288" s="46"/>
      <c r="AH288" s="46"/>
      <c r="AI288" s="46"/>
      <c r="AJ288" s="46"/>
      <c r="AK288" s="46"/>
      <c r="AL288" s="46"/>
      <c r="AM288" s="46"/>
      <c r="AN288" s="46"/>
      <c r="AO288" s="46"/>
      <c r="AP288" s="46"/>
      <c r="AQ288" s="41"/>
    </row>
    <row r="289" spans="9:43" x14ac:dyDescent="0.3">
      <c r="I289" s="70">
        <f t="shared" ca="1" si="7"/>
        <v>125</v>
      </c>
      <c r="J289" s="46"/>
      <c r="K289" s="46"/>
      <c r="L289" s="46"/>
      <c r="M289" s="46"/>
      <c r="N289" s="46"/>
      <c r="O289" s="46"/>
      <c r="P289" s="46"/>
      <c r="Q289" s="46"/>
      <c r="R289" s="46"/>
      <c r="S289" s="46"/>
      <c r="T289" s="46"/>
      <c r="W289" s="46"/>
      <c r="X289" s="46"/>
      <c r="Y289" s="46"/>
      <c r="Z289" s="46"/>
      <c r="AB289" s="46"/>
      <c r="AC289" s="46"/>
      <c r="AD289" s="46"/>
      <c r="AE289" s="46"/>
      <c r="AF289" s="46"/>
      <c r="AG289" s="46"/>
      <c r="AH289" s="46"/>
      <c r="AI289" s="46"/>
      <c r="AJ289" s="46"/>
      <c r="AK289" s="46"/>
      <c r="AL289" s="46"/>
      <c r="AM289" s="46"/>
      <c r="AN289" s="46"/>
      <c r="AO289" s="46"/>
      <c r="AP289" s="46"/>
      <c r="AQ289" s="41"/>
    </row>
    <row r="290" spans="9:43" x14ac:dyDescent="0.3">
      <c r="I290" s="70">
        <f t="shared" ca="1" si="7"/>
        <v>125</v>
      </c>
      <c r="J290" s="46"/>
      <c r="K290" s="46"/>
      <c r="L290" s="46"/>
      <c r="M290" s="46"/>
      <c r="N290" s="46"/>
      <c r="O290" s="46"/>
      <c r="P290" s="46"/>
      <c r="Q290" s="46"/>
      <c r="R290" s="46"/>
      <c r="S290" s="46"/>
      <c r="T290" s="46"/>
      <c r="W290" s="46"/>
      <c r="X290" s="46"/>
      <c r="Y290" s="46"/>
      <c r="Z290" s="46"/>
      <c r="AB290" s="46"/>
      <c r="AC290" s="46"/>
      <c r="AD290" s="46"/>
      <c r="AE290" s="46"/>
      <c r="AF290" s="46"/>
      <c r="AG290" s="46"/>
      <c r="AH290" s="46"/>
      <c r="AI290" s="46"/>
      <c r="AJ290" s="46"/>
      <c r="AK290" s="46"/>
      <c r="AL290" s="46"/>
      <c r="AM290" s="46"/>
      <c r="AN290" s="46"/>
      <c r="AO290" s="46"/>
      <c r="AP290" s="46"/>
      <c r="AQ290" s="41"/>
    </row>
    <row r="291" spans="9:43" x14ac:dyDescent="0.3">
      <c r="I291" s="70">
        <f t="shared" ca="1" si="7"/>
        <v>125</v>
      </c>
      <c r="J291" s="46"/>
      <c r="K291" s="46"/>
      <c r="L291" s="46"/>
      <c r="M291" s="46"/>
      <c r="N291" s="46"/>
      <c r="O291" s="46"/>
      <c r="P291" s="46"/>
      <c r="Q291" s="46"/>
      <c r="R291" s="46"/>
      <c r="S291" s="46"/>
      <c r="T291" s="46"/>
      <c r="W291" s="46"/>
      <c r="X291" s="46"/>
      <c r="Y291" s="46"/>
      <c r="Z291" s="46"/>
      <c r="AB291" s="46"/>
      <c r="AC291" s="46"/>
      <c r="AD291" s="46"/>
      <c r="AE291" s="46"/>
      <c r="AF291" s="46"/>
      <c r="AG291" s="46"/>
      <c r="AH291" s="46"/>
      <c r="AI291" s="46"/>
      <c r="AJ291" s="46"/>
      <c r="AK291" s="46"/>
      <c r="AL291" s="46"/>
      <c r="AM291" s="46"/>
      <c r="AN291" s="46"/>
      <c r="AO291" s="46"/>
      <c r="AP291" s="46"/>
      <c r="AQ291" s="41"/>
    </row>
    <row r="292" spans="9:43" x14ac:dyDescent="0.3">
      <c r="I292" s="70">
        <f t="shared" ca="1" si="7"/>
        <v>125</v>
      </c>
      <c r="J292" s="46"/>
      <c r="K292" s="46"/>
      <c r="L292" s="46"/>
      <c r="M292" s="46"/>
      <c r="N292" s="46"/>
      <c r="O292" s="46"/>
      <c r="P292" s="46"/>
      <c r="Q292" s="46"/>
      <c r="R292" s="46"/>
      <c r="S292" s="46"/>
      <c r="T292" s="46"/>
      <c r="W292" s="46"/>
      <c r="X292" s="46"/>
      <c r="Y292" s="46"/>
      <c r="Z292" s="46"/>
      <c r="AB292" s="46"/>
      <c r="AC292" s="46"/>
      <c r="AD292" s="46"/>
      <c r="AE292" s="46"/>
      <c r="AF292" s="46"/>
      <c r="AG292" s="46"/>
      <c r="AH292" s="46"/>
      <c r="AI292" s="46"/>
      <c r="AJ292" s="46"/>
      <c r="AK292" s="46"/>
      <c r="AL292" s="46"/>
      <c r="AM292" s="46"/>
      <c r="AN292" s="46"/>
      <c r="AO292" s="46"/>
      <c r="AP292" s="46"/>
      <c r="AQ292" s="41"/>
    </row>
    <row r="293" spans="9:43" x14ac:dyDescent="0.3">
      <c r="I293" s="70">
        <f t="shared" ca="1" si="7"/>
        <v>125</v>
      </c>
      <c r="J293" s="46"/>
      <c r="K293" s="46"/>
      <c r="L293" s="46"/>
      <c r="M293" s="46"/>
      <c r="N293" s="46"/>
      <c r="O293" s="46"/>
      <c r="P293" s="46"/>
      <c r="Q293" s="46"/>
      <c r="R293" s="46"/>
      <c r="S293" s="46"/>
      <c r="T293" s="46"/>
      <c r="W293" s="46"/>
      <c r="X293" s="46"/>
      <c r="Y293" s="46"/>
      <c r="Z293" s="46"/>
      <c r="AB293" s="46"/>
      <c r="AC293" s="46"/>
      <c r="AD293" s="46"/>
      <c r="AE293" s="46"/>
      <c r="AF293" s="46"/>
      <c r="AG293" s="46"/>
      <c r="AH293" s="46"/>
      <c r="AI293" s="46"/>
      <c r="AJ293" s="46"/>
      <c r="AK293" s="46"/>
      <c r="AL293" s="46"/>
      <c r="AM293" s="46"/>
      <c r="AN293" s="46"/>
      <c r="AO293" s="46"/>
      <c r="AP293" s="46"/>
      <c r="AQ293" s="41"/>
    </row>
    <row r="294" spans="9:43" x14ac:dyDescent="0.3">
      <c r="I294" s="70">
        <f t="shared" ca="1" si="7"/>
        <v>125</v>
      </c>
      <c r="J294" s="46"/>
      <c r="K294" s="46"/>
      <c r="L294" s="46"/>
      <c r="M294" s="46"/>
      <c r="N294" s="46"/>
      <c r="O294" s="46"/>
      <c r="P294" s="46"/>
      <c r="Q294" s="46"/>
      <c r="R294" s="46"/>
      <c r="S294" s="46"/>
      <c r="T294" s="46"/>
      <c r="W294" s="46"/>
      <c r="X294" s="46"/>
      <c r="Y294" s="46"/>
      <c r="Z294" s="46"/>
      <c r="AB294" s="46"/>
      <c r="AC294" s="46"/>
      <c r="AD294" s="46"/>
      <c r="AE294" s="46"/>
      <c r="AF294" s="46"/>
      <c r="AG294" s="46"/>
      <c r="AH294" s="46"/>
      <c r="AI294" s="46"/>
      <c r="AJ294" s="46"/>
      <c r="AK294" s="46"/>
      <c r="AL294" s="46"/>
      <c r="AM294" s="46"/>
      <c r="AN294" s="46"/>
      <c r="AO294" s="46"/>
      <c r="AP294" s="46"/>
      <c r="AQ294" s="41"/>
    </row>
    <row r="295" spans="9:43" x14ac:dyDescent="0.3">
      <c r="I295" s="70">
        <f t="shared" ca="1" si="7"/>
        <v>125</v>
      </c>
      <c r="J295" s="46"/>
      <c r="K295" s="46"/>
      <c r="L295" s="46"/>
      <c r="M295" s="46"/>
      <c r="N295" s="46"/>
      <c r="O295" s="46"/>
      <c r="P295" s="46"/>
      <c r="Q295" s="46"/>
      <c r="R295" s="46"/>
      <c r="S295" s="46"/>
      <c r="T295" s="46"/>
      <c r="W295" s="46"/>
      <c r="X295" s="46"/>
      <c r="Y295" s="46"/>
      <c r="Z295" s="46"/>
      <c r="AB295" s="46"/>
      <c r="AC295" s="46"/>
      <c r="AD295" s="46"/>
      <c r="AE295" s="46"/>
      <c r="AF295" s="46"/>
      <c r="AG295" s="46"/>
      <c r="AH295" s="46"/>
      <c r="AI295" s="46"/>
      <c r="AJ295" s="46"/>
      <c r="AK295" s="46"/>
      <c r="AL295" s="46"/>
      <c r="AM295" s="46"/>
      <c r="AN295" s="46"/>
      <c r="AO295" s="46"/>
      <c r="AP295" s="46"/>
      <c r="AQ295" s="41"/>
    </row>
    <row r="296" spans="9:43" x14ac:dyDescent="0.3">
      <c r="I296" s="70">
        <f t="shared" ca="1" si="7"/>
        <v>125</v>
      </c>
      <c r="J296" s="46"/>
      <c r="K296" s="46"/>
      <c r="L296" s="46"/>
      <c r="M296" s="46"/>
      <c r="N296" s="46"/>
      <c r="O296" s="46"/>
      <c r="P296" s="46"/>
      <c r="Q296" s="46"/>
      <c r="R296" s="46"/>
      <c r="S296" s="46"/>
      <c r="T296" s="46"/>
      <c r="W296" s="46"/>
      <c r="X296" s="46"/>
      <c r="Y296" s="46"/>
      <c r="Z296" s="46"/>
      <c r="AB296" s="46"/>
      <c r="AC296" s="46"/>
      <c r="AD296" s="46"/>
      <c r="AE296" s="46"/>
      <c r="AF296" s="46"/>
      <c r="AG296" s="46"/>
      <c r="AH296" s="46"/>
      <c r="AI296" s="46"/>
      <c r="AJ296" s="46"/>
      <c r="AK296" s="46"/>
      <c r="AL296" s="46"/>
      <c r="AM296" s="46"/>
      <c r="AN296" s="46"/>
      <c r="AO296" s="46"/>
      <c r="AP296" s="46"/>
      <c r="AQ296" s="41"/>
    </row>
    <row r="297" spans="9:43" x14ac:dyDescent="0.3">
      <c r="I297" s="70">
        <f t="shared" ca="1" si="7"/>
        <v>125</v>
      </c>
      <c r="J297" s="46"/>
      <c r="K297" s="46"/>
      <c r="L297" s="46"/>
      <c r="M297" s="46"/>
      <c r="N297" s="46"/>
      <c r="O297" s="46"/>
      <c r="P297" s="46"/>
      <c r="Q297" s="46"/>
      <c r="R297" s="46"/>
      <c r="S297" s="46"/>
      <c r="T297" s="46"/>
      <c r="W297" s="46"/>
      <c r="X297" s="46"/>
      <c r="Y297" s="46"/>
      <c r="Z297" s="46"/>
      <c r="AB297" s="46"/>
      <c r="AC297" s="46"/>
      <c r="AD297" s="46"/>
      <c r="AE297" s="46"/>
      <c r="AF297" s="46"/>
      <c r="AG297" s="46"/>
      <c r="AH297" s="46"/>
      <c r="AI297" s="46"/>
      <c r="AJ297" s="46"/>
      <c r="AK297" s="46"/>
      <c r="AL297" s="46"/>
      <c r="AM297" s="46"/>
      <c r="AN297" s="46"/>
      <c r="AO297" s="46"/>
      <c r="AP297" s="46"/>
      <c r="AQ297" s="41"/>
    </row>
    <row r="298" spans="9:43" x14ac:dyDescent="0.3">
      <c r="I298" s="70">
        <f t="shared" ca="1" si="7"/>
        <v>125</v>
      </c>
      <c r="J298" s="46"/>
      <c r="K298" s="46"/>
      <c r="L298" s="46"/>
      <c r="M298" s="46"/>
      <c r="N298" s="46"/>
      <c r="O298" s="46"/>
      <c r="P298" s="46"/>
      <c r="Q298" s="46"/>
      <c r="R298" s="46"/>
      <c r="S298" s="46"/>
      <c r="T298" s="46"/>
      <c r="W298" s="46"/>
      <c r="X298" s="46"/>
      <c r="Y298" s="46"/>
      <c r="Z298" s="46"/>
      <c r="AB298" s="46"/>
      <c r="AC298" s="46"/>
      <c r="AD298" s="46"/>
      <c r="AE298" s="46"/>
      <c r="AF298" s="46"/>
      <c r="AG298" s="46"/>
      <c r="AH298" s="46"/>
      <c r="AI298" s="46"/>
      <c r="AJ298" s="46"/>
      <c r="AK298" s="46"/>
      <c r="AL298" s="46"/>
      <c r="AM298" s="46"/>
      <c r="AN298" s="46"/>
      <c r="AO298" s="46"/>
      <c r="AP298" s="46"/>
      <c r="AQ298" s="41"/>
    </row>
    <row r="299" spans="9:43" x14ac:dyDescent="0.3">
      <c r="I299" s="70">
        <f t="shared" ca="1" si="7"/>
        <v>125</v>
      </c>
      <c r="J299" s="46"/>
      <c r="K299" s="46"/>
      <c r="L299" s="46"/>
      <c r="M299" s="46"/>
      <c r="N299" s="46"/>
      <c r="O299" s="46"/>
      <c r="P299" s="46"/>
      <c r="Q299" s="46"/>
      <c r="R299" s="46"/>
      <c r="S299" s="46"/>
      <c r="T299" s="46"/>
      <c r="W299" s="46"/>
      <c r="X299" s="46"/>
      <c r="Y299" s="46"/>
      <c r="Z299" s="46"/>
      <c r="AB299" s="46"/>
      <c r="AC299" s="46"/>
      <c r="AD299" s="46"/>
      <c r="AE299" s="46"/>
      <c r="AF299" s="46"/>
      <c r="AG299" s="46"/>
      <c r="AH299" s="46"/>
      <c r="AI299" s="46"/>
      <c r="AJ299" s="46"/>
      <c r="AK299" s="46"/>
      <c r="AL299" s="46"/>
      <c r="AM299" s="46"/>
      <c r="AN299" s="46"/>
      <c r="AO299" s="46"/>
      <c r="AP299" s="46"/>
      <c r="AQ299" s="41"/>
    </row>
    <row r="300" spans="9:43" x14ac:dyDescent="0.3">
      <c r="I300" s="70">
        <f t="shared" ca="1" si="7"/>
        <v>125</v>
      </c>
      <c r="J300" s="46"/>
      <c r="K300" s="46"/>
      <c r="L300" s="46"/>
      <c r="M300" s="46"/>
      <c r="N300" s="46"/>
      <c r="O300" s="46"/>
      <c r="P300" s="46"/>
      <c r="Q300" s="46"/>
      <c r="R300" s="46"/>
      <c r="S300" s="46"/>
      <c r="T300" s="46"/>
      <c r="W300" s="46"/>
      <c r="X300" s="46"/>
      <c r="Y300" s="46"/>
      <c r="Z300" s="46"/>
      <c r="AB300" s="46"/>
      <c r="AC300" s="46"/>
      <c r="AD300" s="46"/>
      <c r="AE300" s="46"/>
      <c r="AF300" s="46"/>
      <c r="AG300" s="46"/>
      <c r="AH300" s="46"/>
      <c r="AI300" s="46"/>
      <c r="AJ300" s="46"/>
      <c r="AK300" s="46"/>
      <c r="AL300" s="46"/>
      <c r="AM300" s="46"/>
      <c r="AN300" s="46"/>
      <c r="AO300" s="46"/>
      <c r="AP300" s="46"/>
      <c r="AQ300" s="41"/>
    </row>
    <row r="301" spans="9:43" x14ac:dyDescent="0.3">
      <c r="I301" s="70">
        <f t="shared" ca="1" si="7"/>
        <v>125</v>
      </c>
      <c r="J301" s="46"/>
      <c r="K301" s="46"/>
      <c r="L301" s="46"/>
      <c r="M301" s="46"/>
      <c r="N301" s="46"/>
      <c r="O301" s="46"/>
      <c r="P301" s="46"/>
      <c r="Q301" s="46"/>
      <c r="R301" s="46"/>
      <c r="S301" s="46"/>
      <c r="T301" s="46"/>
      <c r="W301" s="46"/>
      <c r="X301" s="46"/>
      <c r="Y301" s="46"/>
      <c r="Z301" s="46"/>
      <c r="AB301" s="46"/>
      <c r="AC301" s="46"/>
      <c r="AD301" s="46"/>
      <c r="AE301" s="46"/>
      <c r="AF301" s="46"/>
      <c r="AG301" s="46"/>
      <c r="AH301" s="46"/>
      <c r="AI301" s="46"/>
      <c r="AJ301" s="46"/>
      <c r="AK301" s="46"/>
      <c r="AL301" s="46"/>
      <c r="AM301" s="46"/>
      <c r="AN301" s="46"/>
      <c r="AO301" s="46"/>
      <c r="AP301" s="46"/>
      <c r="AQ301" s="41"/>
    </row>
    <row r="302" spans="9:43" x14ac:dyDescent="0.3">
      <c r="I302" s="70">
        <f t="shared" ca="1" si="7"/>
        <v>125</v>
      </c>
      <c r="J302" s="46"/>
      <c r="K302" s="46"/>
      <c r="L302" s="46"/>
      <c r="M302" s="46"/>
      <c r="N302" s="46"/>
      <c r="O302" s="46"/>
      <c r="P302" s="46"/>
      <c r="Q302" s="46"/>
      <c r="R302" s="46"/>
      <c r="S302" s="46"/>
      <c r="T302" s="46"/>
      <c r="W302" s="46"/>
      <c r="X302" s="46"/>
      <c r="Y302" s="46"/>
      <c r="Z302" s="46"/>
      <c r="AB302" s="46"/>
      <c r="AC302" s="46"/>
      <c r="AD302" s="46"/>
      <c r="AE302" s="46"/>
      <c r="AF302" s="46"/>
      <c r="AG302" s="46"/>
      <c r="AH302" s="46"/>
      <c r="AI302" s="46"/>
      <c r="AJ302" s="46"/>
      <c r="AK302" s="46"/>
      <c r="AL302" s="46"/>
      <c r="AM302" s="46"/>
      <c r="AN302" s="46"/>
      <c r="AO302" s="46"/>
      <c r="AP302" s="46"/>
      <c r="AQ302" s="41"/>
    </row>
    <row r="303" spans="9:43" x14ac:dyDescent="0.3">
      <c r="I303" s="70">
        <f t="shared" ca="1" si="7"/>
        <v>125</v>
      </c>
      <c r="J303" s="46"/>
      <c r="K303" s="46"/>
      <c r="L303" s="46"/>
      <c r="M303" s="46"/>
      <c r="N303" s="46"/>
      <c r="O303" s="46"/>
      <c r="P303" s="46"/>
      <c r="Q303" s="46"/>
      <c r="R303" s="46"/>
      <c r="S303" s="46"/>
      <c r="T303" s="46"/>
      <c r="W303" s="46"/>
      <c r="X303" s="46"/>
      <c r="Y303" s="46"/>
      <c r="Z303" s="46"/>
      <c r="AB303" s="46"/>
      <c r="AC303" s="46"/>
      <c r="AD303" s="46"/>
      <c r="AE303" s="46"/>
      <c r="AF303" s="46"/>
      <c r="AG303" s="46"/>
      <c r="AH303" s="46"/>
      <c r="AI303" s="46"/>
      <c r="AJ303" s="46"/>
      <c r="AK303" s="46"/>
      <c r="AL303" s="46"/>
      <c r="AM303" s="46"/>
      <c r="AN303" s="46"/>
      <c r="AO303" s="46"/>
      <c r="AP303" s="46"/>
      <c r="AQ303" s="41"/>
    </row>
    <row r="304" spans="9:43" x14ac:dyDescent="0.3">
      <c r="I304" s="70">
        <f t="shared" ca="1" si="7"/>
        <v>125</v>
      </c>
      <c r="J304" s="46"/>
      <c r="K304" s="46"/>
      <c r="L304" s="46"/>
      <c r="M304" s="46"/>
      <c r="N304" s="46"/>
      <c r="O304" s="46"/>
      <c r="P304" s="46"/>
      <c r="Q304" s="46"/>
      <c r="R304" s="46"/>
      <c r="S304" s="46"/>
      <c r="T304" s="46"/>
      <c r="W304" s="46"/>
      <c r="X304" s="46"/>
      <c r="Y304" s="46"/>
      <c r="Z304" s="46"/>
      <c r="AB304" s="46"/>
      <c r="AC304" s="46"/>
      <c r="AD304" s="46"/>
      <c r="AE304" s="46"/>
      <c r="AF304" s="46"/>
      <c r="AG304" s="46"/>
      <c r="AH304" s="46"/>
      <c r="AI304" s="46"/>
      <c r="AJ304" s="46"/>
      <c r="AK304" s="46"/>
      <c r="AL304" s="46"/>
      <c r="AM304" s="46"/>
      <c r="AN304" s="46"/>
      <c r="AO304" s="46"/>
      <c r="AP304" s="46"/>
      <c r="AQ304" s="41"/>
    </row>
    <row r="305" spans="9:43" x14ac:dyDescent="0.3">
      <c r="I305" s="70">
        <f t="shared" ca="1" si="7"/>
        <v>125</v>
      </c>
      <c r="J305" s="46"/>
      <c r="K305" s="46"/>
      <c r="L305" s="46"/>
      <c r="M305" s="46"/>
      <c r="N305" s="46"/>
      <c r="O305" s="46"/>
      <c r="P305" s="46"/>
      <c r="Q305" s="46"/>
      <c r="R305" s="46"/>
      <c r="S305" s="46"/>
      <c r="T305" s="46"/>
      <c r="W305" s="46"/>
      <c r="X305" s="46"/>
      <c r="Y305" s="46"/>
      <c r="Z305" s="46"/>
      <c r="AB305" s="46"/>
      <c r="AC305" s="46"/>
      <c r="AD305" s="46"/>
      <c r="AE305" s="46"/>
      <c r="AF305" s="46"/>
      <c r="AG305" s="46"/>
      <c r="AH305" s="46"/>
      <c r="AI305" s="46"/>
      <c r="AJ305" s="46"/>
      <c r="AK305" s="46"/>
      <c r="AL305" s="46"/>
      <c r="AM305" s="46"/>
      <c r="AN305" s="46"/>
      <c r="AO305" s="46"/>
      <c r="AP305" s="46"/>
      <c r="AQ305" s="41"/>
    </row>
    <row r="306" spans="9:43" x14ac:dyDescent="0.3">
      <c r="I306" s="70">
        <f t="shared" ca="1" si="7"/>
        <v>125</v>
      </c>
      <c r="J306" s="46"/>
      <c r="K306" s="46"/>
      <c r="L306" s="46"/>
      <c r="M306" s="46"/>
      <c r="N306" s="46"/>
      <c r="O306" s="46"/>
      <c r="P306" s="46"/>
      <c r="Q306" s="46"/>
      <c r="R306" s="46"/>
      <c r="S306" s="46"/>
      <c r="T306" s="46"/>
      <c r="W306" s="46"/>
      <c r="X306" s="46"/>
      <c r="Y306" s="46"/>
      <c r="Z306" s="46"/>
      <c r="AB306" s="46"/>
      <c r="AC306" s="46"/>
      <c r="AD306" s="46"/>
      <c r="AE306" s="46"/>
      <c r="AF306" s="46"/>
      <c r="AG306" s="46"/>
      <c r="AH306" s="46"/>
      <c r="AI306" s="46"/>
      <c r="AJ306" s="46"/>
      <c r="AK306" s="46"/>
      <c r="AL306" s="46"/>
      <c r="AM306" s="46"/>
      <c r="AN306" s="46"/>
      <c r="AO306" s="46"/>
      <c r="AP306" s="46"/>
      <c r="AQ306" s="41"/>
    </row>
    <row r="307" spans="9:43" x14ac:dyDescent="0.3">
      <c r="I307" s="70">
        <f t="shared" ca="1" si="7"/>
        <v>125</v>
      </c>
      <c r="J307" s="46"/>
      <c r="K307" s="46"/>
      <c r="L307" s="46"/>
      <c r="M307" s="46"/>
      <c r="N307" s="46"/>
      <c r="O307" s="46"/>
      <c r="P307" s="46"/>
      <c r="Q307" s="46"/>
      <c r="R307" s="46"/>
      <c r="S307" s="46"/>
      <c r="T307" s="46"/>
      <c r="W307" s="46"/>
      <c r="X307" s="46"/>
      <c r="Y307" s="46"/>
      <c r="Z307" s="46"/>
      <c r="AB307" s="46"/>
      <c r="AC307" s="46"/>
      <c r="AD307" s="46"/>
      <c r="AE307" s="46"/>
      <c r="AF307" s="46"/>
      <c r="AG307" s="46"/>
      <c r="AH307" s="46"/>
      <c r="AI307" s="46"/>
      <c r="AJ307" s="46"/>
      <c r="AK307" s="46"/>
      <c r="AL307" s="46"/>
      <c r="AM307" s="46"/>
      <c r="AN307" s="46"/>
      <c r="AO307" s="46"/>
      <c r="AP307" s="46"/>
      <c r="AQ307" s="41"/>
    </row>
    <row r="308" spans="9:43" x14ac:dyDescent="0.3">
      <c r="I308" s="70">
        <f t="shared" ca="1" si="7"/>
        <v>125</v>
      </c>
      <c r="J308" s="46"/>
      <c r="K308" s="46"/>
      <c r="L308" s="46"/>
      <c r="M308" s="46"/>
      <c r="N308" s="46"/>
      <c r="O308" s="46"/>
      <c r="P308" s="46"/>
      <c r="Q308" s="46"/>
      <c r="R308" s="46"/>
      <c r="S308" s="46"/>
      <c r="T308" s="46"/>
      <c r="W308" s="46"/>
      <c r="X308" s="46"/>
      <c r="Y308" s="46"/>
      <c r="Z308" s="46"/>
      <c r="AB308" s="46"/>
      <c r="AC308" s="46"/>
      <c r="AD308" s="46"/>
      <c r="AE308" s="46"/>
      <c r="AF308" s="46"/>
      <c r="AG308" s="46"/>
      <c r="AH308" s="46"/>
      <c r="AI308" s="46"/>
      <c r="AJ308" s="46"/>
      <c r="AK308" s="46"/>
      <c r="AL308" s="46"/>
      <c r="AM308" s="46"/>
      <c r="AN308" s="46"/>
      <c r="AO308" s="46"/>
      <c r="AP308" s="46"/>
      <c r="AQ308" s="41"/>
    </row>
    <row r="309" spans="9:43" x14ac:dyDescent="0.3">
      <c r="I309" s="70">
        <f t="shared" ca="1" si="7"/>
        <v>125</v>
      </c>
      <c r="J309" s="46"/>
      <c r="K309" s="46"/>
      <c r="L309" s="46"/>
      <c r="M309" s="46"/>
      <c r="N309" s="46"/>
      <c r="O309" s="46"/>
      <c r="P309" s="46"/>
      <c r="Q309" s="46"/>
      <c r="R309" s="46"/>
      <c r="S309" s="46"/>
      <c r="T309" s="46"/>
      <c r="W309" s="46"/>
      <c r="X309" s="46"/>
      <c r="Y309" s="46"/>
      <c r="Z309" s="46"/>
      <c r="AB309" s="46"/>
      <c r="AC309" s="46"/>
      <c r="AD309" s="46"/>
      <c r="AE309" s="46"/>
      <c r="AF309" s="46"/>
      <c r="AG309" s="46"/>
      <c r="AH309" s="46"/>
      <c r="AI309" s="46"/>
      <c r="AJ309" s="46"/>
      <c r="AK309" s="46"/>
      <c r="AL309" s="46"/>
      <c r="AM309" s="46"/>
      <c r="AN309" s="46"/>
      <c r="AO309" s="46"/>
      <c r="AP309" s="46"/>
      <c r="AQ309" s="41"/>
    </row>
    <row r="310" spans="9:43" x14ac:dyDescent="0.3">
      <c r="I310" s="70">
        <f t="shared" ca="1" si="7"/>
        <v>125</v>
      </c>
      <c r="J310" s="46"/>
      <c r="K310" s="46"/>
      <c r="L310" s="46"/>
      <c r="M310" s="46"/>
      <c r="N310" s="46"/>
      <c r="O310" s="46"/>
      <c r="P310" s="46"/>
      <c r="Q310" s="46"/>
      <c r="R310" s="46"/>
      <c r="S310" s="46"/>
      <c r="T310" s="46"/>
      <c r="W310" s="46"/>
      <c r="X310" s="46"/>
      <c r="Y310" s="46"/>
      <c r="Z310" s="46"/>
      <c r="AB310" s="46"/>
      <c r="AC310" s="46"/>
      <c r="AD310" s="46"/>
      <c r="AE310" s="46"/>
      <c r="AF310" s="46"/>
      <c r="AG310" s="46"/>
      <c r="AH310" s="46"/>
      <c r="AI310" s="46"/>
      <c r="AJ310" s="46"/>
      <c r="AK310" s="46"/>
      <c r="AL310" s="46"/>
      <c r="AM310" s="46"/>
      <c r="AN310" s="46"/>
      <c r="AO310" s="46"/>
      <c r="AP310" s="46"/>
      <c r="AQ310" s="41"/>
    </row>
    <row r="311" spans="9:43" x14ac:dyDescent="0.3">
      <c r="I311" s="70">
        <f t="shared" ca="1" si="7"/>
        <v>125</v>
      </c>
      <c r="J311" s="46"/>
      <c r="K311" s="46"/>
      <c r="L311" s="46"/>
      <c r="M311" s="46"/>
      <c r="N311" s="46"/>
      <c r="O311" s="46"/>
      <c r="P311" s="46"/>
      <c r="Q311" s="46"/>
      <c r="R311" s="46"/>
      <c r="S311" s="46"/>
      <c r="T311" s="46"/>
      <c r="W311" s="46"/>
      <c r="X311" s="46"/>
      <c r="Y311" s="46"/>
      <c r="Z311" s="46"/>
      <c r="AB311" s="46"/>
      <c r="AC311" s="46"/>
      <c r="AD311" s="46"/>
      <c r="AE311" s="46"/>
      <c r="AF311" s="46"/>
      <c r="AG311" s="46"/>
      <c r="AH311" s="46"/>
      <c r="AI311" s="46"/>
      <c r="AJ311" s="46"/>
      <c r="AK311" s="46"/>
      <c r="AL311" s="46"/>
      <c r="AM311" s="46"/>
      <c r="AN311" s="46"/>
      <c r="AO311" s="46"/>
      <c r="AP311" s="46"/>
      <c r="AQ311" s="41"/>
    </row>
    <row r="312" spans="9:43" x14ac:dyDescent="0.3">
      <c r="I312" s="70">
        <f t="shared" ca="1" si="7"/>
        <v>125</v>
      </c>
      <c r="J312" s="46"/>
      <c r="K312" s="46"/>
      <c r="L312" s="46"/>
      <c r="M312" s="46"/>
      <c r="N312" s="46"/>
      <c r="O312" s="46"/>
      <c r="P312" s="46"/>
      <c r="Q312" s="46"/>
      <c r="R312" s="46"/>
      <c r="S312" s="46"/>
      <c r="T312" s="46"/>
      <c r="W312" s="46"/>
      <c r="X312" s="46"/>
      <c r="Y312" s="46"/>
      <c r="Z312" s="46"/>
      <c r="AB312" s="46"/>
      <c r="AC312" s="46"/>
      <c r="AD312" s="46"/>
      <c r="AE312" s="46"/>
      <c r="AF312" s="46"/>
      <c r="AG312" s="46"/>
      <c r="AH312" s="46"/>
      <c r="AI312" s="46"/>
      <c r="AJ312" s="46"/>
      <c r="AK312" s="46"/>
      <c r="AL312" s="46"/>
      <c r="AM312" s="46"/>
      <c r="AN312" s="46"/>
      <c r="AO312" s="46"/>
      <c r="AP312" s="46"/>
      <c r="AQ312" s="41"/>
    </row>
    <row r="313" spans="9:43" x14ac:dyDescent="0.3">
      <c r="I313" s="70">
        <f t="shared" ca="1" si="7"/>
        <v>125</v>
      </c>
      <c r="J313" s="46"/>
      <c r="K313" s="46"/>
      <c r="L313" s="46"/>
      <c r="M313" s="46"/>
      <c r="N313" s="46"/>
      <c r="O313" s="46"/>
      <c r="P313" s="46"/>
      <c r="Q313" s="46"/>
      <c r="R313" s="46"/>
      <c r="S313" s="46"/>
      <c r="T313" s="46"/>
      <c r="W313" s="46"/>
      <c r="X313" s="46"/>
      <c r="Y313" s="46"/>
      <c r="Z313" s="46"/>
      <c r="AB313" s="46"/>
      <c r="AC313" s="46"/>
      <c r="AD313" s="46"/>
      <c r="AE313" s="46"/>
      <c r="AF313" s="46"/>
      <c r="AG313" s="46"/>
      <c r="AH313" s="46"/>
      <c r="AI313" s="46"/>
      <c r="AJ313" s="46"/>
      <c r="AK313" s="46"/>
      <c r="AL313" s="46"/>
      <c r="AM313" s="46"/>
      <c r="AN313" s="46"/>
      <c r="AO313" s="46"/>
      <c r="AP313" s="46"/>
      <c r="AQ313" s="41"/>
    </row>
    <row r="314" spans="9:43" x14ac:dyDescent="0.3">
      <c r="I314" s="70">
        <f t="shared" ca="1" si="7"/>
        <v>125</v>
      </c>
      <c r="J314" s="46"/>
      <c r="K314" s="46"/>
      <c r="L314" s="46"/>
      <c r="M314" s="46"/>
      <c r="N314" s="46"/>
      <c r="O314" s="46"/>
      <c r="P314" s="46"/>
      <c r="Q314" s="46"/>
      <c r="R314" s="46"/>
      <c r="S314" s="46"/>
      <c r="T314" s="46"/>
      <c r="W314" s="46"/>
      <c r="X314" s="46"/>
      <c r="Y314" s="46"/>
      <c r="Z314" s="46"/>
      <c r="AB314" s="46"/>
      <c r="AC314" s="46"/>
      <c r="AD314" s="46"/>
      <c r="AE314" s="46"/>
      <c r="AF314" s="46"/>
      <c r="AG314" s="46"/>
      <c r="AH314" s="46"/>
      <c r="AI314" s="46"/>
      <c r="AJ314" s="46"/>
      <c r="AK314" s="46"/>
      <c r="AL314" s="46"/>
      <c r="AM314" s="46"/>
      <c r="AN314" s="46"/>
      <c r="AO314" s="46"/>
      <c r="AP314" s="46"/>
      <c r="AQ314" s="41"/>
    </row>
    <row r="315" spans="9:43" x14ac:dyDescent="0.3">
      <c r="I315" s="70">
        <f t="shared" ca="1" si="7"/>
        <v>125</v>
      </c>
      <c r="J315" s="46"/>
      <c r="K315" s="46"/>
      <c r="L315" s="46"/>
      <c r="M315" s="46"/>
      <c r="N315" s="46"/>
      <c r="O315" s="46"/>
      <c r="P315" s="46"/>
      <c r="Q315" s="46"/>
      <c r="R315" s="46"/>
      <c r="S315" s="46"/>
      <c r="T315" s="46"/>
      <c r="W315" s="46"/>
      <c r="X315" s="46"/>
      <c r="Y315" s="46"/>
      <c r="Z315" s="46"/>
      <c r="AB315" s="46"/>
      <c r="AC315" s="46"/>
      <c r="AD315" s="46"/>
      <c r="AE315" s="46"/>
      <c r="AF315" s="46"/>
      <c r="AG315" s="46"/>
      <c r="AH315" s="46"/>
      <c r="AI315" s="46"/>
      <c r="AJ315" s="46"/>
      <c r="AK315" s="46"/>
      <c r="AL315" s="46"/>
      <c r="AM315" s="46"/>
      <c r="AN315" s="46"/>
      <c r="AO315" s="46"/>
      <c r="AP315" s="46"/>
      <c r="AQ315" s="41"/>
    </row>
    <row r="316" spans="9:43" x14ac:dyDescent="0.3">
      <c r="I316" s="70">
        <f t="shared" ca="1" si="7"/>
        <v>125</v>
      </c>
      <c r="J316" s="46"/>
      <c r="K316" s="46"/>
      <c r="L316" s="46"/>
      <c r="M316" s="46"/>
      <c r="N316" s="46"/>
      <c r="O316" s="46"/>
      <c r="P316" s="46"/>
      <c r="Q316" s="46"/>
      <c r="R316" s="46"/>
      <c r="S316" s="46"/>
      <c r="T316" s="46"/>
      <c r="W316" s="46"/>
      <c r="X316" s="46"/>
      <c r="Y316" s="46"/>
      <c r="Z316" s="46"/>
      <c r="AB316" s="46"/>
      <c r="AC316" s="46"/>
      <c r="AD316" s="46"/>
      <c r="AE316" s="46"/>
      <c r="AF316" s="46"/>
      <c r="AG316" s="46"/>
      <c r="AH316" s="46"/>
      <c r="AI316" s="46"/>
      <c r="AJ316" s="46"/>
      <c r="AK316" s="46"/>
      <c r="AL316" s="46"/>
      <c r="AM316" s="46"/>
      <c r="AN316" s="46"/>
      <c r="AO316" s="46"/>
      <c r="AP316" s="46"/>
      <c r="AQ316" s="41"/>
    </row>
    <row r="317" spans="9:43" x14ac:dyDescent="0.3">
      <c r="I317" s="70">
        <f t="shared" ca="1" si="7"/>
        <v>125</v>
      </c>
      <c r="J317" s="46"/>
      <c r="K317" s="46"/>
      <c r="L317" s="46"/>
      <c r="M317" s="46"/>
      <c r="N317" s="46"/>
      <c r="O317" s="46"/>
      <c r="P317" s="46"/>
      <c r="Q317" s="46"/>
      <c r="R317" s="46"/>
      <c r="S317" s="46"/>
      <c r="T317" s="46"/>
      <c r="W317" s="46"/>
      <c r="X317" s="46"/>
      <c r="Y317" s="46"/>
      <c r="Z317" s="46"/>
      <c r="AB317" s="46"/>
      <c r="AC317" s="46"/>
      <c r="AD317" s="46"/>
      <c r="AE317" s="46"/>
      <c r="AF317" s="46"/>
      <c r="AG317" s="46"/>
      <c r="AH317" s="46"/>
      <c r="AI317" s="46"/>
      <c r="AJ317" s="46"/>
      <c r="AK317" s="46"/>
      <c r="AL317" s="46"/>
      <c r="AM317" s="46"/>
      <c r="AN317" s="46"/>
      <c r="AO317" s="46"/>
      <c r="AP317" s="46"/>
      <c r="AQ317" s="41"/>
    </row>
    <row r="318" spans="9:43" x14ac:dyDescent="0.3">
      <c r="I318" s="70">
        <f t="shared" ca="1" si="7"/>
        <v>125</v>
      </c>
      <c r="J318" s="46"/>
      <c r="K318" s="46"/>
      <c r="L318" s="46"/>
      <c r="M318" s="46"/>
      <c r="N318" s="46"/>
      <c r="O318" s="46"/>
      <c r="P318" s="46"/>
      <c r="Q318" s="46"/>
      <c r="R318" s="46"/>
      <c r="S318" s="46"/>
      <c r="T318" s="46"/>
      <c r="W318" s="46"/>
      <c r="X318" s="46"/>
      <c r="Y318" s="46"/>
      <c r="Z318" s="46"/>
      <c r="AB318" s="46"/>
      <c r="AC318" s="46"/>
      <c r="AD318" s="46"/>
      <c r="AE318" s="46"/>
      <c r="AF318" s="46"/>
      <c r="AG318" s="46"/>
      <c r="AH318" s="46"/>
      <c r="AI318" s="46"/>
      <c r="AJ318" s="46"/>
      <c r="AK318" s="46"/>
      <c r="AL318" s="46"/>
      <c r="AM318" s="46"/>
      <c r="AN318" s="46"/>
      <c r="AO318" s="46"/>
      <c r="AP318" s="46"/>
      <c r="AQ318" s="41"/>
    </row>
    <row r="319" spans="9:43" x14ac:dyDescent="0.3">
      <c r="I319" s="70">
        <f t="shared" ca="1" si="7"/>
        <v>125</v>
      </c>
      <c r="J319" s="46"/>
      <c r="K319" s="46"/>
      <c r="L319" s="46"/>
      <c r="M319" s="46"/>
      <c r="N319" s="46"/>
      <c r="O319" s="46"/>
      <c r="P319" s="46"/>
      <c r="Q319" s="46"/>
      <c r="R319" s="46"/>
      <c r="S319" s="46"/>
      <c r="T319" s="46"/>
      <c r="W319" s="46"/>
      <c r="X319" s="46"/>
      <c r="Y319" s="46"/>
      <c r="Z319" s="46"/>
      <c r="AB319" s="46"/>
      <c r="AC319" s="46"/>
      <c r="AD319" s="46"/>
      <c r="AE319" s="46"/>
      <c r="AF319" s="46"/>
      <c r="AG319" s="46"/>
      <c r="AH319" s="46"/>
      <c r="AI319" s="46"/>
      <c r="AJ319" s="46"/>
      <c r="AK319" s="46"/>
      <c r="AL319" s="46"/>
      <c r="AM319" s="46"/>
      <c r="AN319" s="46"/>
      <c r="AO319" s="46"/>
      <c r="AP319" s="46"/>
      <c r="AQ319" s="41"/>
    </row>
    <row r="320" spans="9:43" x14ac:dyDescent="0.3">
      <c r="I320" s="70">
        <f t="shared" ca="1" si="7"/>
        <v>125</v>
      </c>
      <c r="J320" s="46"/>
      <c r="K320" s="46"/>
      <c r="L320" s="46"/>
      <c r="M320" s="46"/>
      <c r="N320" s="46"/>
      <c r="O320" s="46"/>
      <c r="P320" s="46"/>
      <c r="Q320" s="46"/>
      <c r="R320" s="46"/>
      <c r="S320" s="46"/>
      <c r="T320" s="46"/>
      <c r="W320" s="46"/>
      <c r="X320" s="46"/>
      <c r="Y320" s="46"/>
      <c r="Z320" s="46"/>
      <c r="AB320" s="46"/>
      <c r="AC320" s="46"/>
      <c r="AD320" s="46"/>
      <c r="AE320" s="46"/>
      <c r="AF320" s="46"/>
      <c r="AG320" s="46"/>
      <c r="AH320" s="46"/>
      <c r="AI320" s="46"/>
      <c r="AJ320" s="46"/>
      <c r="AK320" s="46"/>
      <c r="AL320" s="46"/>
      <c r="AM320" s="46"/>
      <c r="AN320" s="46"/>
      <c r="AO320" s="46"/>
      <c r="AP320" s="46"/>
      <c r="AQ320" s="41"/>
    </row>
    <row r="321" spans="9:43" x14ac:dyDescent="0.3">
      <c r="I321" s="70">
        <f t="shared" ca="1" si="7"/>
        <v>125</v>
      </c>
      <c r="J321" s="46"/>
      <c r="K321" s="46"/>
      <c r="L321" s="46"/>
      <c r="M321" s="46"/>
      <c r="N321" s="46"/>
      <c r="O321" s="46"/>
      <c r="P321" s="46"/>
      <c r="Q321" s="46"/>
      <c r="R321" s="46"/>
      <c r="S321" s="46"/>
      <c r="T321" s="46"/>
      <c r="W321" s="46"/>
      <c r="X321" s="46"/>
      <c r="Y321" s="46"/>
      <c r="Z321" s="46"/>
      <c r="AB321" s="46"/>
      <c r="AC321" s="46"/>
      <c r="AD321" s="46"/>
      <c r="AE321" s="46"/>
      <c r="AF321" s="46"/>
      <c r="AG321" s="46"/>
      <c r="AH321" s="46"/>
      <c r="AI321" s="46"/>
      <c r="AJ321" s="46"/>
      <c r="AK321" s="46"/>
      <c r="AL321" s="46"/>
      <c r="AM321" s="46"/>
      <c r="AN321" s="46"/>
      <c r="AO321" s="46"/>
      <c r="AP321" s="46"/>
      <c r="AQ321" s="41"/>
    </row>
    <row r="322" spans="9:43" x14ac:dyDescent="0.3">
      <c r="I322" s="70">
        <f t="shared" ca="1" si="7"/>
        <v>125</v>
      </c>
      <c r="J322" s="46"/>
      <c r="K322" s="46"/>
      <c r="L322" s="46"/>
      <c r="M322" s="46"/>
      <c r="N322" s="46"/>
      <c r="O322" s="46"/>
      <c r="P322" s="46"/>
      <c r="Q322" s="46"/>
      <c r="R322" s="46"/>
      <c r="S322" s="46"/>
      <c r="T322" s="46"/>
      <c r="W322" s="46"/>
      <c r="X322" s="46"/>
      <c r="Y322" s="46"/>
      <c r="Z322" s="46"/>
      <c r="AB322" s="46"/>
      <c r="AC322" s="46"/>
      <c r="AD322" s="46"/>
      <c r="AE322" s="46"/>
      <c r="AF322" s="46"/>
      <c r="AG322" s="46"/>
      <c r="AH322" s="46"/>
      <c r="AI322" s="46"/>
      <c r="AJ322" s="46"/>
      <c r="AK322" s="46"/>
      <c r="AL322" s="46"/>
      <c r="AM322" s="46"/>
      <c r="AN322" s="46"/>
      <c r="AO322" s="46"/>
      <c r="AP322" s="46"/>
      <c r="AQ322" s="41"/>
    </row>
    <row r="323" spans="9:43" x14ac:dyDescent="0.3">
      <c r="I323" s="70">
        <f t="shared" ca="1" si="7"/>
        <v>125</v>
      </c>
      <c r="J323" s="46"/>
      <c r="K323" s="46"/>
      <c r="L323" s="46"/>
      <c r="M323" s="46"/>
      <c r="N323" s="46"/>
      <c r="O323" s="46"/>
      <c r="P323" s="46"/>
      <c r="Q323" s="46"/>
      <c r="R323" s="46"/>
      <c r="S323" s="46"/>
      <c r="T323" s="46"/>
      <c r="W323" s="46"/>
      <c r="X323" s="46"/>
      <c r="Y323" s="46"/>
      <c r="Z323" s="46"/>
      <c r="AB323" s="46"/>
      <c r="AC323" s="46"/>
      <c r="AD323" s="46"/>
      <c r="AE323" s="46"/>
      <c r="AF323" s="46"/>
      <c r="AG323" s="46"/>
      <c r="AH323" s="46"/>
      <c r="AI323" s="46"/>
      <c r="AJ323" s="46"/>
      <c r="AK323" s="46"/>
      <c r="AL323" s="46"/>
      <c r="AM323" s="46"/>
      <c r="AN323" s="46"/>
      <c r="AO323" s="46"/>
      <c r="AP323" s="46"/>
      <c r="AQ323" s="41"/>
    </row>
    <row r="324" spans="9:43" x14ac:dyDescent="0.3">
      <c r="I324" s="70">
        <f t="shared" ca="1" si="7"/>
        <v>125</v>
      </c>
      <c r="J324" s="46"/>
      <c r="K324" s="46"/>
      <c r="L324" s="46"/>
      <c r="M324" s="46"/>
      <c r="N324" s="46"/>
      <c r="O324" s="46"/>
      <c r="P324" s="46"/>
      <c r="Q324" s="46"/>
      <c r="R324" s="46"/>
      <c r="S324" s="46"/>
      <c r="T324" s="46"/>
      <c r="W324" s="46"/>
      <c r="X324" s="46"/>
      <c r="Y324" s="46"/>
      <c r="Z324" s="46"/>
      <c r="AB324" s="46"/>
      <c r="AC324" s="46"/>
      <c r="AD324" s="46"/>
      <c r="AE324" s="46"/>
      <c r="AF324" s="46"/>
      <c r="AG324" s="46"/>
      <c r="AH324" s="46"/>
      <c r="AI324" s="46"/>
      <c r="AJ324" s="46"/>
      <c r="AK324" s="46"/>
      <c r="AL324" s="46"/>
      <c r="AM324" s="46"/>
      <c r="AN324" s="46"/>
      <c r="AO324" s="46"/>
      <c r="AP324" s="46"/>
      <c r="AQ324" s="41"/>
    </row>
    <row r="325" spans="9:43" x14ac:dyDescent="0.3">
      <c r="I325" s="70">
        <f t="shared" ca="1" si="7"/>
        <v>125</v>
      </c>
      <c r="J325" s="46"/>
      <c r="K325" s="46"/>
      <c r="L325" s="46"/>
      <c r="M325" s="46"/>
      <c r="N325" s="46"/>
      <c r="O325" s="46"/>
      <c r="P325" s="46"/>
      <c r="Q325" s="46"/>
      <c r="R325" s="46"/>
      <c r="S325" s="46"/>
      <c r="T325" s="46"/>
      <c r="W325" s="46"/>
      <c r="X325" s="46"/>
      <c r="Y325" s="46"/>
      <c r="Z325" s="46"/>
      <c r="AB325" s="46"/>
      <c r="AC325" s="46"/>
      <c r="AD325" s="46"/>
      <c r="AE325" s="46"/>
      <c r="AF325" s="46"/>
      <c r="AG325" s="46"/>
      <c r="AH325" s="46"/>
      <c r="AI325" s="46"/>
      <c r="AJ325" s="46"/>
      <c r="AK325" s="46"/>
      <c r="AL325" s="46"/>
      <c r="AM325" s="46"/>
      <c r="AN325" s="46"/>
      <c r="AO325" s="46"/>
      <c r="AP325" s="46"/>
      <c r="AQ325" s="41"/>
    </row>
    <row r="326" spans="9:43" x14ac:dyDescent="0.3">
      <c r="I326" s="70">
        <f t="shared" ca="1" si="7"/>
        <v>125</v>
      </c>
      <c r="J326" s="46"/>
      <c r="K326" s="46"/>
      <c r="L326" s="46"/>
      <c r="M326" s="46"/>
      <c r="N326" s="46"/>
      <c r="O326" s="46"/>
      <c r="P326" s="46"/>
      <c r="Q326" s="46"/>
      <c r="R326" s="46"/>
      <c r="S326" s="46"/>
      <c r="T326" s="46"/>
      <c r="W326" s="46"/>
      <c r="X326" s="46"/>
      <c r="Y326" s="46"/>
      <c r="Z326" s="46"/>
      <c r="AB326" s="46"/>
      <c r="AC326" s="46"/>
      <c r="AD326" s="46"/>
      <c r="AE326" s="46"/>
      <c r="AF326" s="46"/>
      <c r="AG326" s="46"/>
      <c r="AH326" s="46"/>
      <c r="AI326" s="46"/>
      <c r="AJ326" s="46"/>
      <c r="AK326" s="46"/>
      <c r="AL326" s="46"/>
      <c r="AM326" s="46"/>
      <c r="AN326" s="46"/>
      <c r="AO326" s="46"/>
      <c r="AP326" s="46"/>
      <c r="AQ326" s="41"/>
    </row>
    <row r="327" spans="9:43" x14ac:dyDescent="0.3">
      <c r="I327" s="70">
        <f t="shared" ca="1" si="7"/>
        <v>125</v>
      </c>
      <c r="J327" s="46"/>
      <c r="K327" s="46"/>
      <c r="L327" s="46"/>
      <c r="M327" s="46"/>
      <c r="N327" s="46"/>
      <c r="O327" s="46"/>
      <c r="P327" s="46"/>
      <c r="Q327" s="46"/>
      <c r="R327" s="46"/>
      <c r="S327" s="46"/>
      <c r="T327" s="46"/>
      <c r="W327" s="46"/>
      <c r="X327" s="46"/>
      <c r="Y327" s="46"/>
      <c r="Z327" s="46"/>
      <c r="AB327" s="46"/>
      <c r="AC327" s="46"/>
      <c r="AD327" s="46"/>
      <c r="AE327" s="46"/>
      <c r="AF327" s="46"/>
      <c r="AG327" s="46"/>
      <c r="AH327" s="46"/>
      <c r="AI327" s="46"/>
      <c r="AJ327" s="46"/>
      <c r="AK327" s="46"/>
      <c r="AL327" s="46"/>
      <c r="AM327" s="46"/>
      <c r="AN327" s="46"/>
      <c r="AO327" s="46"/>
      <c r="AP327" s="46"/>
      <c r="AQ327" s="41"/>
    </row>
    <row r="328" spans="9:43" x14ac:dyDescent="0.3">
      <c r="I328" s="70">
        <f t="shared" ca="1" si="7"/>
        <v>125</v>
      </c>
      <c r="J328" s="46"/>
      <c r="K328" s="46"/>
      <c r="L328" s="46"/>
      <c r="M328" s="46"/>
      <c r="N328" s="46"/>
      <c r="O328" s="46"/>
      <c r="P328" s="46"/>
      <c r="Q328" s="46"/>
      <c r="R328" s="46"/>
      <c r="S328" s="46"/>
      <c r="T328" s="46"/>
      <c r="W328" s="46"/>
      <c r="X328" s="46"/>
      <c r="Y328" s="46"/>
      <c r="Z328" s="46"/>
      <c r="AB328" s="46"/>
      <c r="AC328" s="46"/>
      <c r="AD328" s="46"/>
      <c r="AE328" s="46"/>
      <c r="AF328" s="46"/>
      <c r="AG328" s="46"/>
      <c r="AH328" s="46"/>
      <c r="AI328" s="46"/>
      <c r="AJ328" s="46"/>
      <c r="AK328" s="46"/>
      <c r="AL328" s="46"/>
      <c r="AM328" s="46"/>
      <c r="AN328" s="46"/>
      <c r="AO328" s="46"/>
      <c r="AP328" s="46"/>
      <c r="AQ328" s="41"/>
    </row>
    <row r="329" spans="9:43" x14ac:dyDescent="0.3">
      <c r="I329" s="70">
        <f t="shared" ca="1" si="7"/>
        <v>125</v>
      </c>
      <c r="J329" s="46"/>
      <c r="K329" s="46"/>
      <c r="L329" s="46"/>
      <c r="M329" s="46"/>
      <c r="N329" s="46"/>
      <c r="O329" s="46"/>
      <c r="P329" s="46"/>
      <c r="Q329" s="46"/>
      <c r="R329" s="46"/>
      <c r="S329" s="46"/>
      <c r="T329" s="46"/>
      <c r="W329" s="46"/>
      <c r="X329" s="46"/>
      <c r="Y329" s="46"/>
      <c r="Z329" s="46"/>
      <c r="AB329" s="46"/>
      <c r="AC329" s="46"/>
      <c r="AD329" s="46"/>
      <c r="AE329" s="46"/>
      <c r="AF329" s="46"/>
      <c r="AG329" s="46"/>
      <c r="AH329" s="46"/>
      <c r="AI329" s="46"/>
      <c r="AJ329" s="46"/>
      <c r="AK329" s="46"/>
      <c r="AL329" s="46"/>
      <c r="AM329" s="46"/>
      <c r="AN329" s="46"/>
      <c r="AO329" s="46"/>
      <c r="AP329" s="46"/>
      <c r="AQ329" s="41"/>
    </row>
    <row r="330" spans="9:43" x14ac:dyDescent="0.3">
      <c r="I330" s="70">
        <f t="shared" ca="1" si="7"/>
        <v>125</v>
      </c>
      <c r="J330" s="46"/>
      <c r="K330" s="46"/>
      <c r="L330" s="46"/>
      <c r="M330" s="46"/>
      <c r="N330" s="46"/>
      <c r="O330" s="46"/>
      <c r="P330" s="46"/>
      <c r="Q330" s="46"/>
      <c r="R330" s="46"/>
      <c r="S330" s="46"/>
      <c r="T330" s="46"/>
      <c r="W330" s="46"/>
      <c r="X330" s="46"/>
      <c r="Y330" s="46"/>
      <c r="Z330" s="46"/>
      <c r="AB330" s="46"/>
      <c r="AC330" s="46"/>
      <c r="AD330" s="46"/>
      <c r="AE330" s="46"/>
      <c r="AF330" s="46"/>
      <c r="AG330" s="46"/>
      <c r="AH330" s="46"/>
      <c r="AI330" s="46"/>
      <c r="AJ330" s="46"/>
      <c r="AK330" s="46"/>
      <c r="AL330" s="46"/>
      <c r="AM330" s="46"/>
      <c r="AN330" s="46"/>
      <c r="AO330" s="46"/>
      <c r="AP330" s="46"/>
      <c r="AQ330" s="41"/>
    </row>
    <row r="331" spans="9:43" x14ac:dyDescent="0.3">
      <c r="I331" s="70">
        <f t="shared" ca="1" si="7"/>
        <v>125</v>
      </c>
      <c r="J331" s="46"/>
      <c r="K331" s="46"/>
      <c r="L331" s="46"/>
      <c r="M331" s="46"/>
      <c r="N331" s="46"/>
      <c r="O331" s="46"/>
      <c r="P331" s="46"/>
      <c r="Q331" s="46"/>
      <c r="R331" s="46"/>
      <c r="S331" s="46"/>
      <c r="T331" s="46"/>
      <c r="W331" s="46"/>
      <c r="X331" s="46"/>
      <c r="Y331" s="46"/>
      <c r="Z331" s="46"/>
      <c r="AB331" s="46"/>
      <c r="AC331" s="46"/>
      <c r="AD331" s="46"/>
      <c r="AE331" s="46"/>
      <c r="AF331" s="46"/>
      <c r="AG331" s="46"/>
      <c r="AH331" s="46"/>
      <c r="AI331" s="46"/>
      <c r="AJ331" s="46"/>
      <c r="AK331" s="46"/>
      <c r="AL331" s="46"/>
      <c r="AM331" s="46"/>
      <c r="AN331" s="46"/>
      <c r="AO331" s="46"/>
      <c r="AP331" s="46"/>
      <c r="AQ331" s="41"/>
    </row>
    <row r="332" spans="9:43" x14ac:dyDescent="0.3">
      <c r="I332" s="70">
        <f t="shared" ca="1" si="7"/>
        <v>125</v>
      </c>
      <c r="J332" s="46"/>
      <c r="K332" s="46"/>
      <c r="L332" s="46"/>
      <c r="M332" s="46"/>
      <c r="N332" s="46"/>
      <c r="O332" s="46"/>
      <c r="P332" s="46"/>
      <c r="Q332" s="46"/>
      <c r="R332" s="46"/>
      <c r="S332" s="46"/>
      <c r="T332" s="46"/>
      <c r="W332" s="46"/>
      <c r="X332" s="46"/>
      <c r="Y332" s="46"/>
      <c r="Z332" s="46"/>
      <c r="AB332" s="46"/>
      <c r="AC332" s="46"/>
      <c r="AD332" s="46"/>
      <c r="AE332" s="46"/>
      <c r="AF332" s="46"/>
      <c r="AG332" s="46"/>
      <c r="AH332" s="46"/>
      <c r="AI332" s="46"/>
      <c r="AJ332" s="46"/>
      <c r="AK332" s="46"/>
      <c r="AL332" s="46"/>
      <c r="AM332" s="46"/>
      <c r="AN332" s="46"/>
      <c r="AO332" s="46"/>
      <c r="AP332" s="46"/>
      <c r="AQ332" s="41"/>
    </row>
    <row r="333" spans="9:43" x14ac:dyDescent="0.3">
      <c r="I333" s="70">
        <f t="shared" ca="1" si="7"/>
        <v>125</v>
      </c>
      <c r="J333" s="46"/>
      <c r="K333" s="46"/>
      <c r="L333" s="46"/>
      <c r="M333" s="46"/>
      <c r="N333" s="46"/>
      <c r="O333" s="46"/>
      <c r="P333" s="46"/>
      <c r="Q333" s="46"/>
      <c r="R333" s="46"/>
      <c r="S333" s="46"/>
      <c r="T333" s="46"/>
      <c r="W333" s="46"/>
      <c r="X333" s="46"/>
      <c r="Y333" s="46"/>
      <c r="Z333" s="46"/>
      <c r="AB333" s="46"/>
      <c r="AC333" s="46"/>
      <c r="AD333" s="46"/>
      <c r="AE333" s="46"/>
      <c r="AF333" s="46"/>
      <c r="AG333" s="46"/>
      <c r="AH333" s="46"/>
      <c r="AI333" s="46"/>
      <c r="AJ333" s="46"/>
      <c r="AK333" s="46"/>
      <c r="AL333" s="46"/>
      <c r="AM333" s="46"/>
      <c r="AN333" s="46"/>
      <c r="AO333" s="46"/>
      <c r="AP333" s="46"/>
      <c r="AQ333" s="41"/>
    </row>
    <row r="334" spans="9:43" x14ac:dyDescent="0.3">
      <c r="I334" s="70">
        <f t="shared" ca="1" si="7"/>
        <v>125</v>
      </c>
      <c r="J334" s="46"/>
      <c r="K334" s="46"/>
      <c r="L334" s="46"/>
      <c r="M334" s="46"/>
      <c r="N334" s="46"/>
      <c r="O334" s="46"/>
      <c r="P334" s="46"/>
      <c r="Q334" s="46"/>
      <c r="R334" s="46"/>
      <c r="S334" s="46"/>
      <c r="T334" s="46"/>
      <c r="W334" s="46"/>
      <c r="X334" s="46"/>
      <c r="Y334" s="46"/>
      <c r="Z334" s="46"/>
      <c r="AB334" s="46"/>
      <c r="AC334" s="46"/>
      <c r="AD334" s="46"/>
      <c r="AE334" s="46"/>
      <c r="AF334" s="46"/>
      <c r="AG334" s="46"/>
      <c r="AH334" s="46"/>
      <c r="AI334" s="46"/>
      <c r="AJ334" s="46"/>
      <c r="AK334" s="46"/>
      <c r="AL334" s="46"/>
      <c r="AM334" s="46"/>
      <c r="AN334" s="46"/>
      <c r="AO334" s="46"/>
      <c r="AP334" s="46"/>
      <c r="AQ334" s="41"/>
    </row>
    <row r="335" spans="9:43" x14ac:dyDescent="0.3">
      <c r="I335" s="70">
        <f t="shared" ca="1" si="7"/>
        <v>125</v>
      </c>
      <c r="J335" s="46"/>
      <c r="K335" s="46"/>
      <c r="L335" s="46"/>
      <c r="M335" s="46"/>
      <c r="N335" s="46"/>
      <c r="O335" s="46"/>
      <c r="P335" s="46"/>
      <c r="Q335" s="46"/>
      <c r="R335" s="46"/>
      <c r="S335" s="46"/>
      <c r="T335" s="46"/>
      <c r="W335" s="46"/>
      <c r="X335" s="46"/>
      <c r="Y335" s="46"/>
      <c r="Z335" s="46"/>
      <c r="AB335" s="46"/>
      <c r="AC335" s="46"/>
      <c r="AD335" s="46"/>
      <c r="AE335" s="46"/>
      <c r="AF335" s="46"/>
      <c r="AG335" s="46"/>
      <c r="AH335" s="46"/>
      <c r="AI335" s="46"/>
      <c r="AJ335" s="46"/>
      <c r="AK335" s="46"/>
      <c r="AL335" s="46"/>
      <c r="AM335" s="46"/>
      <c r="AN335" s="46"/>
      <c r="AO335" s="46"/>
      <c r="AP335" s="46"/>
      <c r="AQ335" s="41"/>
    </row>
    <row r="336" spans="9:43" x14ac:dyDescent="0.3">
      <c r="I336" s="70">
        <f t="shared" ca="1" si="7"/>
        <v>125</v>
      </c>
      <c r="J336" s="46"/>
      <c r="K336" s="46"/>
      <c r="L336" s="46"/>
      <c r="M336" s="46"/>
      <c r="N336" s="46"/>
      <c r="O336" s="46"/>
      <c r="P336" s="46"/>
      <c r="Q336" s="46"/>
      <c r="R336" s="46"/>
      <c r="S336" s="46"/>
      <c r="T336" s="46"/>
      <c r="W336" s="46"/>
      <c r="X336" s="46"/>
      <c r="Y336" s="46"/>
      <c r="Z336" s="46"/>
      <c r="AB336" s="46"/>
      <c r="AC336" s="46"/>
      <c r="AD336" s="46"/>
      <c r="AE336" s="46"/>
      <c r="AF336" s="46"/>
      <c r="AG336" s="46"/>
      <c r="AH336" s="46"/>
      <c r="AI336" s="46"/>
      <c r="AJ336" s="46"/>
      <c r="AK336" s="46"/>
      <c r="AL336" s="46"/>
      <c r="AM336" s="46"/>
      <c r="AN336" s="46"/>
      <c r="AO336" s="46"/>
      <c r="AP336" s="46"/>
      <c r="AQ336" s="41"/>
    </row>
    <row r="337" spans="9:43" x14ac:dyDescent="0.3">
      <c r="I337" s="70">
        <f t="shared" ca="1" si="7"/>
        <v>125</v>
      </c>
      <c r="J337" s="46"/>
      <c r="K337" s="46"/>
      <c r="L337" s="46"/>
      <c r="M337" s="46"/>
      <c r="N337" s="46"/>
      <c r="O337" s="46"/>
      <c r="P337" s="46"/>
      <c r="Q337" s="46"/>
      <c r="R337" s="46"/>
      <c r="S337" s="46"/>
      <c r="T337" s="46"/>
      <c r="W337" s="46"/>
      <c r="X337" s="46"/>
      <c r="Y337" s="46"/>
      <c r="Z337" s="46"/>
      <c r="AB337" s="46"/>
      <c r="AC337" s="46"/>
      <c r="AD337" s="46"/>
      <c r="AE337" s="46"/>
      <c r="AF337" s="46"/>
      <c r="AG337" s="46"/>
      <c r="AH337" s="46"/>
      <c r="AI337" s="46"/>
      <c r="AJ337" s="46"/>
      <c r="AK337" s="46"/>
      <c r="AL337" s="46"/>
      <c r="AM337" s="46"/>
      <c r="AN337" s="46"/>
      <c r="AO337" s="46"/>
      <c r="AP337" s="46"/>
      <c r="AQ337" s="41"/>
    </row>
    <row r="338" spans="9:43" x14ac:dyDescent="0.3">
      <c r="I338" s="70">
        <f t="shared" ref="I338:I401" ca="1" si="8">INT((TODAY()-H338)/365.25)</f>
        <v>125</v>
      </c>
      <c r="J338" s="46"/>
      <c r="K338" s="46"/>
      <c r="L338" s="46"/>
      <c r="M338" s="46"/>
      <c r="N338" s="46"/>
      <c r="O338" s="46"/>
      <c r="P338" s="46"/>
      <c r="Q338" s="46"/>
      <c r="R338" s="46"/>
      <c r="S338" s="46"/>
      <c r="T338" s="46"/>
      <c r="W338" s="46"/>
      <c r="X338" s="46"/>
      <c r="Y338" s="46"/>
      <c r="Z338" s="46"/>
      <c r="AB338" s="46"/>
      <c r="AC338" s="46"/>
      <c r="AD338" s="46"/>
      <c r="AE338" s="46"/>
      <c r="AF338" s="46"/>
      <c r="AG338" s="46"/>
      <c r="AH338" s="46"/>
      <c r="AI338" s="46"/>
      <c r="AJ338" s="46"/>
      <c r="AK338" s="46"/>
      <c r="AL338" s="46"/>
      <c r="AM338" s="46"/>
      <c r="AN338" s="46"/>
      <c r="AO338" s="46"/>
      <c r="AP338" s="46"/>
      <c r="AQ338" s="41"/>
    </row>
    <row r="339" spans="9:43" x14ac:dyDescent="0.3">
      <c r="I339" s="70">
        <f t="shared" ca="1" si="8"/>
        <v>125</v>
      </c>
      <c r="J339" s="46"/>
      <c r="K339" s="46"/>
      <c r="L339" s="46"/>
      <c r="M339" s="46"/>
      <c r="N339" s="46"/>
      <c r="O339" s="46"/>
      <c r="P339" s="46"/>
      <c r="Q339" s="46"/>
      <c r="R339" s="46"/>
      <c r="S339" s="46"/>
      <c r="T339" s="46"/>
      <c r="W339" s="46"/>
      <c r="X339" s="46"/>
      <c r="Y339" s="46"/>
      <c r="Z339" s="46"/>
      <c r="AB339" s="46"/>
      <c r="AC339" s="46"/>
      <c r="AD339" s="46"/>
      <c r="AE339" s="46"/>
      <c r="AF339" s="46"/>
      <c r="AG339" s="46"/>
      <c r="AH339" s="46"/>
      <c r="AI339" s="46"/>
      <c r="AJ339" s="46"/>
      <c r="AK339" s="46"/>
      <c r="AL339" s="46"/>
      <c r="AM339" s="46"/>
      <c r="AN339" s="46"/>
      <c r="AO339" s="46"/>
      <c r="AP339" s="46"/>
      <c r="AQ339" s="41"/>
    </row>
    <row r="340" spans="9:43" x14ac:dyDescent="0.3">
      <c r="I340" s="70">
        <f t="shared" ca="1" si="8"/>
        <v>125</v>
      </c>
      <c r="J340" s="46"/>
      <c r="K340" s="46"/>
      <c r="L340" s="46"/>
      <c r="M340" s="46"/>
      <c r="N340" s="46"/>
      <c r="O340" s="46"/>
      <c r="P340" s="46"/>
      <c r="Q340" s="46"/>
      <c r="R340" s="46"/>
      <c r="S340" s="46"/>
      <c r="T340" s="46"/>
      <c r="W340" s="46"/>
      <c r="X340" s="46"/>
      <c r="Y340" s="46"/>
      <c r="Z340" s="46"/>
      <c r="AB340" s="46"/>
      <c r="AC340" s="46"/>
      <c r="AD340" s="46"/>
      <c r="AE340" s="46"/>
      <c r="AF340" s="46"/>
      <c r="AG340" s="46"/>
      <c r="AH340" s="46"/>
      <c r="AI340" s="46"/>
      <c r="AJ340" s="46"/>
      <c r="AK340" s="46"/>
      <c r="AL340" s="46"/>
      <c r="AM340" s="46"/>
      <c r="AN340" s="46"/>
      <c r="AO340" s="46"/>
      <c r="AP340" s="46"/>
      <c r="AQ340" s="41"/>
    </row>
    <row r="341" spans="9:43" x14ac:dyDescent="0.3">
      <c r="I341" s="70">
        <f t="shared" ca="1" si="8"/>
        <v>125</v>
      </c>
      <c r="J341" s="46"/>
      <c r="K341" s="46"/>
      <c r="L341" s="46"/>
      <c r="M341" s="46"/>
      <c r="N341" s="46"/>
      <c r="O341" s="46"/>
      <c r="P341" s="46"/>
      <c r="Q341" s="46"/>
      <c r="R341" s="46"/>
      <c r="S341" s="46"/>
      <c r="T341" s="46"/>
      <c r="W341" s="46"/>
      <c r="X341" s="46"/>
      <c r="Y341" s="46"/>
      <c r="Z341" s="46"/>
      <c r="AB341" s="46"/>
      <c r="AC341" s="46"/>
      <c r="AD341" s="46"/>
      <c r="AE341" s="46"/>
      <c r="AF341" s="46"/>
      <c r="AG341" s="46"/>
      <c r="AH341" s="46"/>
      <c r="AI341" s="46"/>
      <c r="AJ341" s="46"/>
      <c r="AK341" s="46"/>
      <c r="AL341" s="46"/>
      <c r="AM341" s="46"/>
      <c r="AN341" s="46"/>
      <c r="AO341" s="46"/>
      <c r="AP341" s="46"/>
      <c r="AQ341" s="41"/>
    </row>
    <row r="342" spans="9:43" x14ac:dyDescent="0.3">
      <c r="I342" s="70">
        <f t="shared" ca="1" si="8"/>
        <v>125</v>
      </c>
      <c r="J342" s="46"/>
      <c r="K342" s="46"/>
      <c r="L342" s="46"/>
      <c r="M342" s="46"/>
      <c r="N342" s="46"/>
      <c r="O342" s="46"/>
      <c r="P342" s="46"/>
      <c r="Q342" s="46"/>
      <c r="R342" s="46"/>
      <c r="S342" s="46"/>
      <c r="T342" s="46"/>
      <c r="W342" s="46"/>
      <c r="X342" s="46"/>
      <c r="Y342" s="46"/>
      <c r="Z342" s="46"/>
      <c r="AB342" s="46"/>
      <c r="AC342" s="46"/>
      <c r="AD342" s="46"/>
      <c r="AE342" s="46"/>
      <c r="AF342" s="46"/>
      <c r="AG342" s="46"/>
      <c r="AH342" s="46"/>
      <c r="AI342" s="46"/>
      <c r="AJ342" s="46"/>
      <c r="AK342" s="46"/>
      <c r="AL342" s="46"/>
      <c r="AM342" s="46"/>
      <c r="AN342" s="46"/>
      <c r="AO342" s="46"/>
      <c r="AP342" s="46"/>
      <c r="AQ342" s="41"/>
    </row>
    <row r="343" spans="9:43" x14ac:dyDescent="0.3">
      <c r="I343" s="70">
        <f t="shared" ca="1" si="8"/>
        <v>125</v>
      </c>
      <c r="J343" s="46"/>
      <c r="K343" s="46"/>
      <c r="L343" s="46"/>
      <c r="M343" s="46"/>
      <c r="N343" s="46"/>
      <c r="O343" s="46"/>
      <c r="P343" s="46"/>
      <c r="Q343" s="46"/>
      <c r="R343" s="46"/>
      <c r="S343" s="46"/>
      <c r="T343" s="46"/>
      <c r="W343" s="46"/>
      <c r="X343" s="46"/>
      <c r="Y343" s="46"/>
      <c r="Z343" s="46"/>
      <c r="AB343" s="46"/>
      <c r="AC343" s="46"/>
      <c r="AD343" s="46"/>
      <c r="AE343" s="46"/>
      <c r="AF343" s="46"/>
      <c r="AG343" s="46"/>
      <c r="AH343" s="46"/>
      <c r="AI343" s="46"/>
      <c r="AJ343" s="46"/>
      <c r="AK343" s="46"/>
      <c r="AL343" s="46"/>
      <c r="AM343" s="46"/>
      <c r="AN343" s="46"/>
      <c r="AO343" s="46"/>
      <c r="AP343" s="46"/>
      <c r="AQ343" s="41"/>
    </row>
    <row r="344" spans="9:43" x14ac:dyDescent="0.3">
      <c r="I344" s="70">
        <f t="shared" ca="1" si="8"/>
        <v>125</v>
      </c>
      <c r="J344" s="46"/>
      <c r="K344" s="46"/>
      <c r="L344" s="46"/>
      <c r="M344" s="46"/>
      <c r="N344" s="46"/>
      <c r="O344" s="46"/>
      <c r="P344" s="46"/>
      <c r="Q344" s="46"/>
      <c r="R344" s="46"/>
      <c r="S344" s="46"/>
      <c r="T344" s="46"/>
      <c r="W344" s="46"/>
      <c r="X344" s="46"/>
      <c r="Y344" s="46"/>
      <c r="Z344" s="46"/>
      <c r="AB344" s="46"/>
      <c r="AC344" s="46"/>
      <c r="AD344" s="46"/>
      <c r="AE344" s="46"/>
      <c r="AF344" s="46"/>
      <c r="AG344" s="46"/>
      <c r="AH344" s="46"/>
      <c r="AI344" s="46"/>
      <c r="AJ344" s="46"/>
      <c r="AK344" s="46"/>
      <c r="AL344" s="46"/>
      <c r="AM344" s="46"/>
      <c r="AN344" s="46"/>
      <c r="AO344" s="46"/>
      <c r="AP344" s="46"/>
      <c r="AQ344" s="41"/>
    </row>
    <row r="345" spans="9:43" x14ac:dyDescent="0.3">
      <c r="I345" s="70">
        <f t="shared" ca="1" si="8"/>
        <v>125</v>
      </c>
      <c r="J345" s="46"/>
      <c r="K345" s="46"/>
      <c r="L345" s="46"/>
      <c r="M345" s="46"/>
      <c r="N345" s="46"/>
      <c r="O345" s="46"/>
      <c r="P345" s="46"/>
      <c r="Q345" s="46"/>
      <c r="R345" s="46"/>
      <c r="S345" s="46"/>
      <c r="T345" s="46"/>
      <c r="W345" s="46"/>
      <c r="X345" s="46"/>
      <c r="Y345" s="46"/>
      <c r="Z345" s="46"/>
      <c r="AB345" s="46"/>
      <c r="AC345" s="46"/>
      <c r="AD345" s="46"/>
      <c r="AE345" s="46"/>
      <c r="AF345" s="46"/>
      <c r="AG345" s="46"/>
      <c r="AH345" s="46"/>
      <c r="AI345" s="46"/>
      <c r="AJ345" s="46"/>
      <c r="AK345" s="46"/>
      <c r="AL345" s="46"/>
      <c r="AM345" s="46"/>
      <c r="AN345" s="46"/>
      <c r="AO345" s="46"/>
      <c r="AP345" s="46"/>
      <c r="AQ345" s="41"/>
    </row>
    <row r="346" spans="9:43" x14ac:dyDescent="0.3">
      <c r="I346" s="70">
        <f t="shared" ca="1" si="8"/>
        <v>125</v>
      </c>
      <c r="J346" s="46"/>
      <c r="K346" s="46"/>
      <c r="L346" s="46"/>
      <c r="M346" s="46"/>
      <c r="N346" s="46"/>
      <c r="O346" s="46"/>
      <c r="P346" s="46"/>
      <c r="Q346" s="46"/>
      <c r="R346" s="46"/>
      <c r="S346" s="46"/>
      <c r="T346" s="46"/>
      <c r="W346" s="46"/>
      <c r="X346" s="46"/>
      <c r="Y346" s="46"/>
      <c r="Z346" s="46"/>
      <c r="AB346" s="46"/>
      <c r="AC346" s="46"/>
      <c r="AD346" s="46"/>
      <c r="AE346" s="46"/>
      <c r="AF346" s="46"/>
      <c r="AG346" s="46"/>
      <c r="AH346" s="46"/>
      <c r="AI346" s="46"/>
      <c r="AJ346" s="46"/>
      <c r="AK346" s="46"/>
      <c r="AL346" s="46"/>
      <c r="AM346" s="46"/>
      <c r="AN346" s="46"/>
      <c r="AO346" s="46"/>
      <c r="AP346" s="46"/>
      <c r="AQ346" s="41"/>
    </row>
    <row r="347" spans="9:43" x14ac:dyDescent="0.3">
      <c r="I347" s="70">
        <f t="shared" ca="1" si="8"/>
        <v>125</v>
      </c>
      <c r="J347" s="46"/>
      <c r="K347" s="46"/>
      <c r="L347" s="46"/>
      <c r="M347" s="46"/>
      <c r="N347" s="46"/>
      <c r="O347" s="46"/>
      <c r="P347" s="46"/>
      <c r="Q347" s="46"/>
      <c r="R347" s="46"/>
      <c r="S347" s="46"/>
      <c r="T347" s="46"/>
      <c r="W347" s="46"/>
      <c r="X347" s="46"/>
      <c r="Y347" s="46"/>
      <c r="Z347" s="46"/>
      <c r="AB347" s="46"/>
      <c r="AC347" s="46"/>
      <c r="AD347" s="46"/>
      <c r="AE347" s="46"/>
      <c r="AF347" s="46"/>
      <c r="AG347" s="46"/>
      <c r="AH347" s="46"/>
      <c r="AI347" s="46"/>
      <c r="AJ347" s="46"/>
      <c r="AK347" s="46"/>
      <c r="AL347" s="46"/>
      <c r="AM347" s="46"/>
      <c r="AN347" s="46"/>
      <c r="AO347" s="46"/>
      <c r="AP347" s="46"/>
      <c r="AQ347" s="41"/>
    </row>
    <row r="348" spans="9:43" x14ac:dyDescent="0.3">
      <c r="I348" s="70">
        <f t="shared" ca="1" si="8"/>
        <v>125</v>
      </c>
      <c r="J348" s="46"/>
      <c r="K348" s="46"/>
      <c r="L348" s="46"/>
      <c r="M348" s="46"/>
      <c r="N348" s="46"/>
      <c r="O348" s="46"/>
      <c r="P348" s="46"/>
      <c r="Q348" s="46"/>
      <c r="R348" s="46"/>
      <c r="S348" s="46"/>
      <c r="T348" s="46"/>
      <c r="W348" s="46"/>
      <c r="X348" s="46"/>
      <c r="Y348" s="46"/>
      <c r="Z348" s="46"/>
      <c r="AB348" s="46"/>
      <c r="AC348" s="46"/>
      <c r="AD348" s="46"/>
      <c r="AE348" s="46"/>
      <c r="AF348" s="46"/>
      <c r="AG348" s="46"/>
      <c r="AH348" s="46"/>
      <c r="AI348" s="46"/>
      <c r="AJ348" s="46"/>
      <c r="AK348" s="46"/>
      <c r="AL348" s="46"/>
      <c r="AM348" s="46"/>
      <c r="AN348" s="46"/>
      <c r="AO348" s="46"/>
      <c r="AP348" s="46"/>
      <c r="AQ348" s="41"/>
    </row>
    <row r="349" spans="9:43" x14ac:dyDescent="0.3">
      <c r="I349" s="70">
        <f t="shared" ca="1" si="8"/>
        <v>125</v>
      </c>
      <c r="J349" s="46"/>
      <c r="K349" s="46"/>
      <c r="L349" s="46"/>
      <c r="M349" s="46"/>
      <c r="N349" s="46"/>
      <c r="O349" s="46"/>
      <c r="P349" s="46"/>
      <c r="Q349" s="46"/>
      <c r="R349" s="46"/>
      <c r="S349" s="46"/>
      <c r="T349" s="46"/>
      <c r="W349" s="46"/>
      <c r="X349" s="46"/>
      <c r="Y349" s="46"/>
      <c r="Z349" s="46"/>
      <c r="AB349" s="46"/>
      <c r="AC349" s="46"/>
      <c r="AD349" s="46"/>
      <c r="AE349" s="46"/>
      <c r="AF349" s="46"/>
      <c r="AG349" s="46"/>
      <c r="AH349" s="46"/>
      <c r="AI349" s="46"/>
      <c r="AJ349" s="46"/>
      <c r="AK349" s="46"/>
      <c r="AL349" s="46"/>
      <c r="AM349" s="46"/>
      <c r="AN349" s="46"/>
      <c r="AO349" s="46"/>
      <c r="AP349" s="46"/>
      <c r="AQ349" s="41"/>
    </row>
    <row r="350" spans="9:43" x14ac:dyDescent="0.3">
      <c r="I350" s="70">
        <f t="shared" ca="1" si="8"/>
        <v>125</v>
      </c>
      <c r="J350" s="46"/>
      <c r="K350" s="46"/>
      <c r="L350" s="46"/>
      <c r="M350" s="46"/>
      <c r="N350" s="46"/>
      <c r="O350" s="46"/>
      <c r="P350" s="46"/>
      <c r="Q350" s="46"/>
      <c r="R350" s="46"/>
      <c r="S350" s="46"/>
      <c r="T350" s="46"/>
      <c r="W350" s="46"/>
      <c r="X350" s="46"/>
      <c r="Y350" s="46"/>
      <c r="Z350" s="46"/>
      <c r="AB350" s="46"/>
      <c r="AC350" s="46"/>
      <c r="AD350" s="46"/>
      <c r="AE350" s="46"/>
      <c r="AF350" s="46"/>
      <c r="AG350" s="46"/>
      <c r="AH350" s="46"/>
      <c r="AI350" s="46"/>
      <c r="AJ350" s="46"/>
      <c r="AK350" s="46"/>
      <c r="AL350" s="46"/>
      <c r="AM350" s="46"/>
      <c r="AN350" s="46"/>
      <c r="AO350" s="46"/>
      <c r="AP350" s="46"/>
      <c r="AQ350" s="41"/>
    </row>
    <row r="351" spans="9:43" x14ac:dyDescent="0.3">
      <c r="I351" s="70">
        <f t="shared" ca="1" si="8"/>
        <v>125</v>
      </c>
      <c r="J351" s="46"/>
      <c r="K351" s="46"/>
      <c r="L351" s="46"/>
      <c r="M351" s="46"/>
      <c r="N351" s="46"/>
      <c r="O351" s="46"/>
      <c r="P351" s="46"/>
      <c r="Q351" s="46"/>
      <c r="R351" s="46"/>
      <c r="S351" s="46"/>
      <c r="T351" s="46"/>
      <c r="W351" s="46"/>
      <c r="X351" s="46"/>
      <c r="Y351" s="46"/>
      <c r="Z351" s="46"/>
      <c r="AB351" s="46"/>
      <c r="AC351" s="46"/>
      <c r="AD351" s="46"/>
      <c r="AE351" s="46"/>
      <c r="AF351" s="46"/>
      <c r="AG351" s="46"/>
      <c r="AH351" s="46"/>
      <c r="AI351" s="46"/>
      <c r="AJ351" s="46"/>
      <c r="AK351" s="46"/>
      <c r="AL351" s="46"/>
      <c r="AM351" s="46"/>
      <c r="AN351" s="46"/>
      <c r="AO351" s="46"/>
      <c r="AP351" s="46"/>
      <c r="AQ351" s="41"/>
    </row>
    <row r="352" spans="9:43" x14ac:dyDescent="0.3">
      <c r="I352" s="70">
        <f t="shared" ca="1" si="8"/>
        <v>125</v>
      </c>
      <c r="J352" s="46"/>
      <c r="K352" s="46"/>
      <c r="L352" s="46"/>
      <c r="M352" s="46"/>
      <c r="N352" s="46"/>
      <c r="O352" s="46"/>
      <c r="P352" s="46"/>
      <c r="Q352" s="46"/>
      <c r="R352" s="46"/>
      <c r="S352" s="46"/>
      <c r="T352" s="46"/>
      <c r="W352" s="46"/>
      <c r="X352" s="46"/>
      <c r="Y352" s="46"/>
      <c r="Z352" s="46"/>
      <c r="AB352" s="46"/>
      <c r="AC352" s="46"/>
      <c r="AD352" s="46"/>
      <c r="AE352" s="46"/>
      <c r="AF352" s="46"/>
      <c r="AG352" s="46"/>
      <c r="AH352" s="46"/>
      <c r="AI352" s="46"/>
      <c r="AJ352" s="46"/>
      <c r="AK352" s="46"/>
      <c r="AL352" s="46"/>
      <c r="AM352" s="46"/>
      <c r="AN352" s="46"/>
      <c r="AO352" s="46"/>
      <c r="AP352" s="46"/>
      <c r="AQ352" s="41"/>
    </row>
    <row r="353" spans="9:43" x14ac:dyDescent="0.3">
      <c r="I353" s="70">
        <f t="shared" ca="1" si="8"/>
        <v>125</v>
      </c>
      <c r="J353" s="46"/>
      <c r="K353" s="46"/>
      <c r="L353" s="46"/>
      <c r="M353" s="46"/>
      <c r="N353" s="46"/>
      <c r="O353" s="46"/>
      <c r="P353" s="46"/>
      <c r="Q353" s="46"/>
      <c r="R353" s="46"/>
      <c r="S353" s="46"/>
      <c r="T353" s="46"/>
      <c r="W353" s="46"/>
      <c r="X353" s="46"/>
      <c r="Y353" s="46"/>
      <c r="Z353" s="46"/>
      <c r="AB353" s="46"/>
      <c r="AC353" s="46"/>
      <c r="AD353" s="46"/>
      <c r="AE353" s="46"/>
      <c r="AF353" s="46"/>
      <c r="AG353" s="46"/>
      <c r="AH353" s="46"/>
      <c r="AI353" s="46"/>
      <c r="AJ353" s="46"/>
      <c r="AK353" s="46"/>
      <c r="AL353" s="46"/>
      <c r="AM353" s="46"/>
      <c r="AN353" s="46"/>
      <c r="AO353" s="46"/>
      <c r="AP353" s="46"/>
      <c r="AQ353" s="41"/>
    </row>
    <row r="354" spans="9:43" x14ac:dyDescent="0.3">
      <c r="I354" s="70">
        <f t="shared" ca="1" si="8"/>
        <v>125</v>
      </c>
      <c r="J354" s="46"/>
      <c r="K354" s="46"/>
      <c r="L354" s="46"/>
      <c r="M354" s="46"/>
      <c r="N354" s="46"/>
      <c r="O354" s="46"/>
      <c r="P354" s="46"/>
      <c r="Q354" s="46"/>
      <c r="R354" s="46"/>
      <c r="S354" s="46"/>
      <c r="T354" s="46"/>
      <c r="W354" s="46"/>
      <c r="X354" s="46"/>
      <c r="Y354" s="46"/>
      <c r="Z354" s="46"/>
      <c r="AB354" s="46"/>
      <c r="AC354" s="46"/>
      <c r="AD354" s="46"/>
      <c r="AE354" s="46"/>
      <c r="AF354" s="46"/>
      <c r="AG354" s="46"/>
      <c r="AH354" s="46"/>
      <c r="AI354" s="46"/>
      <c r="AJ354" s="46"/>
      <c r="AK354" s="46"/>
      <c r="AL354" s="46"/>
      <c r="AM354" s="46"/>
      <c r="AN354" s="46"/>
      <c r="AO354" s="46"/>
      <c r="AP354" s="46"/>
      <c r="AQ354" s="41"/>
    </row>
    <row r="355" spans="9:43" x14ac:dyDescent="0.3">
      <c r="I355" s="70">
        <f t="shared" ca="1" si="8"/>
        <v>125</v>
      </c>
      <c r="J355" s="46"/>
      <c r="K355" s="46"/>
      <c r="L355" s="46"/>
      <c r="M355" s="46"/>
      <c r="N355" s="46"/>
      <c r="O355" s="46"/>
      <c r="P355" s="46"/>
      <c r="Q355" s="46"/>
      <c r="R355" s="46"/>
      <c r="S355" s="46"/>
      <c r="T355" s="46"/>
      <c r="W355" s="46"/>
      <c r="X355" s="46"/>
      <c r="Y355" s="46"/>
      <c r="Z355" s="46"/>
      <c r="AB355" s="46"/>
      <c r="AC355" s="46"/>
      <c r="AD355" s="46"/>
      <c r="AE355" s="46"/>
      <c r="AF355" s="46"/>
      <c r="AG355" s="46"/>
      <c r="AH355" s="46"/>
      <c r="AI355" s="46"/>
      <c r="AJ355" s="46"/>
      <c r="AK355" s="46"/>
      <c r="AL355" s="46"/>
      <c r="AM355" s="46"/>
      <c r="AN355" s="46"/>
      <c r="AO355" s="46"/>
      <c r="AP355" s="46"/>
      <c r="AQ355" s="41"/>
    </row>
    <row r="356" spans="9:43" x14ac:dyDescent="0.3">
      <c r="I356" s="70">
        <f t="shared" ca="1" si="8"/>
        <v>125</v>
      </c>
      <c r="J356" s="46"/>
      <c r="K356" s="46"/>
      <c r="L356" s="46"/>
      <c r="M356" s="46"/>
      <c r="N356" s="46"/>
      <c r="O356" s="46"/>
      <c r="P356" s="46"/>
      <c r="Q356" s="46"/>
      <c r="R356" s="46"/>
      <c r="S356" s="46"/>
      <c r="T356" s="46"/>
      <c r="W356" s="46"/>
      <c r="X356" s="46"/>
      <c r="Y356" s="46"/>
      <c r="Z356" s="46"/>
      <c r="AB356" s="46"/>
      <c r="AC356" s="46"/>
      <c r="AD356" s="46"/>
      <c r="AE356" s="46"/>
      <c r="AF356" s="46"/>
      <c r="AG356" s="46"/>
      <c r="AH356" s="46"/>
      <c r="AI356" s="46"/>
      <c r="AJ356" s="46"/>
      <c r="AK356" s="46"/>
      <c r="AL356" s="46"/>
      <c r="AM356" s="46"/>
      <c r="AN356" s="46"/>
      <c r="AO356" s="46"/>
      <c r="AP356" s="46"/>
      <c r="AQ356" s="41"/>
    </row>
    <row r="357" spans="9:43" x14ac:dyDescent="0.3">
      <c r="I357" s="70">
        <f t="shared" ca="1" si="8"/>
        <v>125</v>
      </c>
      <c r="J357" s="46"/>
      <c r="K357" s="46"/>
      <c r="L357" s="46"/>
      <c r="M357" s="46"/>
      <c r="N357" s="46"/>
      <c r="O357" s="46"/>
      <c r="P357" s="46"/>
      <c r="Q357" s="46"/>
      <c r="R357" s="46"/>
      <c r="S357" s="46"/>
      <c r="T357" s="46"/>
      <c r="W357" s="46"/>
      <c r="X357" s="46"/>
      <c r="Y357" s="46"/>
      <c r="Z357" s="46"/>
      <c r="AB357" s="46"/>
      <c r="AC357" s="46"/>
      <c r="AD357" s="46"/>
      <c r="AE357" s="46"/>
      <c r="AF357" s="46"/>
      <c r="AG357" s="46"/>
      <c r="AH357" s="46"/>
      <c r="AI357" s="46"/>
      <c r="AJ357" s="46"/>
      <c r="AK357" s="46"/>
      <c r="AL357" s="46"/>
      <c r="AM357" s="46"/>
      <c r="AN357" s="46"/>
      <c r="AO357" s="46"/>
      <c r="AP357" s="46"/>
      <c r="AQ357" s="41"/>
    </row>
    <row r="358" spans="9:43" x14ac:dyDescent="0.3">
      <c r="I358" s="70">
        <f t="shared" ca="1" si="8"/>
        <v>125</v>
      </c>
      <c r="J358" s="46"/>
      <c r="K358" s="46"/>
      <c r="L358" s="46"/>
      <c r="M358" s="46"/>
      <c r="N358" s="46"/>
      <c r="O358" s="46"/>
      <c r="P358" s="46"/>
      <c r="Q358" s="46"/>
      <c r="R358" s="46"/>
      <c r="S358" s="46"/>
      <c r="T358" s="46"/>
      <c r="W358" s="46"/>
      <c r="X358" s="46"/>
      <c r="Y358" s="46"/>
      <c r="Z358" s="46"/>
      <c r="AB358" s="46"/>
      <c r="AC358" s="46"/>
      <c r="AD358" s="46"/>
      <c r="AE358" s="46"/>
      <c r="AF358" s="46"/>
      <c r="AG358" s="46"/>
      <c r="AH358" s="46"/>
      <c r="AI358" s="46"/>
      <c r="AJ358" s="46"/>
      <c r="AK358" s="46"/>
      <c r="AL358" s="46"/>
      <c r="AM358" s="46"/>
      <c r="AN358" s="46"/>
      <c r="AO358" s="46"/>
      <c r="AP358" s="46"/>
      <c r="AQ358" s="41"/>
    </row>
    <row r="359" spans="9:43" x14ac:dyDescent="0.3">
      <c r="I359" s="70">
        <f t="shared" ca="1" si="8"/>
        <v>125</v>
      </c>
      <c r="J359" s="46"/>
      <c r="K359" s="46"/>
      <c r="L359" s="46"/>
      <c r="M359" s="46"/>
      <c r="N359" s="46"/>
      <c r="O359" s="46"/>
      <c r="P359" s="46"/>
      <c r="Q359" s="46"/>
      <c r="R359" s="46"/>
      <c r="S359" s="46"/>
      <c r="T359" s="46"/>
      <c r="W359" s="46"/>
      <c r="X359" s="46"/>
      <c r="Y359" s="46"/>
      <c r="Z359" s="46"/>
      <c r="AB359" s="46"/>
      <c r="AC359" s="46"/>
      <c r="AD359" s="46"/>
      <c r="AE359" s="46"/>
      <c r="AF359" s="46"/>
      <c r="AG359" s="46"/>
      <c r="AH359" s="46"/>
      <c r="AI359" s="46"/>
      <c r="AJ359" s="46"/>
      <c r="AK359" s="46"/>
      <c r="AL359" s="46"/>
      <c r="AM359" s="46"/>
      <c r="AN359" s="46"/>
      <c r="AO359" s="46"/>
      <c r="AP359" s="46"/>
      <c r="AQ359" s="41"/>
    </row>
    <row r="360" spans="9:43" x14ac:dyDescent="0.3">
      <c r="I360" s="70">
        <f t="shared" ca="1" si="8"/>
        <v>125</v>
      </c>
      <c r="J360" s="46"/>
      <c r="K360" s="46"/>
      <c r="L360" s="46"/>
      <c r="M360" s="46"/>
      <c r="N360" s="46"/>
      <c r="O360" s="46"/>
      <c r="P360" s="46"/>
      <c r="Q360" s="46"/>
      <c r="R360" s="46"/>
      <c r="S360" s="46"/>
      <c r="T360" s="46"/>
      <c r="W360" s="46"/>
      <c r="X360" s="46"/>
      <c r="Y360" s="46"/>
      <c r="Z360" s="46"/>
      <c r="AB360" s="46"/>
      <c r="AC360" s="46"/>
      <c r="AD360" s="46"/>
      <c r="AE360" s="46"/>
      <c r="AF360" s="46"/>
      <c r="AG360" s="46"/>
      <c r="AH360" s="46"/>
      <c r="AI360" s="46"/>
      <c r="AJ360" s="46"/>
      <c r="AK360" s="46"/>
      <c r="AL360" s="46"/>
      <c r="AM360" s="46"/>
      <c r="AN360" s="46"/>
      <c r="AO360" s="46"/>
      <c r="AP360" s="46"/>
      <c r="AQ360" s="41"/>
    </row>
    <row r="361" spans="9:43" x14ac:dyDescent="0.3">
      <c r="I361" s="70">
        <f t="shared" ca="1" si="8"/>
        <v>125</v>
      </c>
      <c r="J361" s="46"/>
      <c r="K361" s="46"/>
      <c r="L361" s="46"/>
      <c r="M361" s="46"/>
      <c r="N361" s="46"/>
      <c r="O361" s="46"/>
      <c r="P361" s="46"/>
      <c r="Q361" s="46"/>
      <c r="R361" s="46"/>
      <c r="S361" s="46"/>
      <c r="T361" s="46"/>
      <c r="W361" s="46"/>
      <c r="X361" s="46"/>
      <c r="Y361" s="46"/>
      <c r="Z361" s="46"/>
      <c r="AB361" s="46"/>
      <c r="AC361" s="46"/>
      <c r="AD361" s="46"/>
      <c r="AE361" s="46"/>
      <c r="AF361" s="46"/>
      <c r="AG361" s="46"/>
      <c r="AH361" s="46"/>
      <c r="AI361" s="46"/>
      <c r="AJ361" s="46"/>
      <c r="AK361" s="46"/>
      <c r="AL361" s="46"/>
      <c r="AM361" s="46"/>
      <c r="AN361" s="46"/>
      <c r="AO361" s="46"/>
      <c r="AP361" s="46"/>
      <c r="AQ361" s="41"/>
    </row>
    <row r="362" spans="9:43" x14ac:dyDescent="0.3">
      <c r="I362" s="70">
        <f t="shared" ca="1" si="8"/>
        <v>125</v>
      </c>
      <c r="J362" s="46"/>
      <c r="K362" s="46"/>
      <c r="L362" s="46"/>
      <c r="M362" s="46"/>
      <c r="N362" s="46"/>
      <c r="O362" s="46"/>
      <c r="P362" s="46"/>
      <c r="Q362" s="46"/>
      <c r="R362" s="46"/>
      <c r="S362" s="46"/>
      <c r="T362" s="46"/>
      <c r="W362" s="46"/>
      <c r="X362" s="46"/>
      <c r="Y362" s="46"/>
      <c r="Z362" s="46"/>
      <c r="AB362" s="46"/>
      <c r="AC362" s="46"/>
      <c r="AD362" s="46"/>
      <c r="AE362" s="46"/>
      <c r="AF362" s="46"/>
      <c r="AG362" s="46"/>
      <c r="AH362" s="46"/>
      <c r="AI362" s="46"/>
      <c r="AJ362" s="46"/>
      <c r="AK362" s="46"/>
      <c r="AL362" s="46"/>
      <c r="AM362" s="46"/>
      <c r="AN362" s="46"/>
      <c r="AO362" s="46"/>
      <c r="AP362" s="46"/>
      <c r="AQ362" s="41"/>
    </row>
    <row r="363" spans="9:43" x14ac:dyDescent="0.3">
      <c r="I363" s="70">
        <f t="shared" ca="1" si="8"/>
        <v>125</v>
      </c>
      <c r="J363" s="46"/>
      <c r="K363" s="46"/>
      <c r="L363" s="46"/>
      <c r="M363" s="46"/>
      <c r="N363" s="46"/>
      <c r="O363" s="46"/>
      <c r="P363" s="46"/>
      <c r="Q363" s="46"/>
      <c r="R363" s="46"/>
      <c r="S363" s="46"/>
      <c r="T363" s="46"/>
      <c r="W363" s="46"/>
      <c r="X363" s="46"/>
      <c r="Y363" s="46"/>
      <c r="Z363" s="46"/>
      <c r="AB363" s="46"/>
      <c r="AC363" s="46"/>
      <c r="AD363" s="46"/>
      <c r="AE363" s="46"/>
      <c r="AF363" s="46"/>
      <c r="AG363" s="46"/>
      <c r="AH363" s="46"/>
      <c r="AI363" s="46"/>
      <c r="AJ363" s="46"/>
      <c r="AK363" s="46"/>
      <c r="AL363" s="46"/>
      <c r="AM363" s="46"/>
      <c r="AN363" s="46"/>
      <c r="AO363" s="46"/>
      <c r="AP363" s="46"/>
      <c r="AQ363" s="41"/>
    </row>
    <row r="364" spans="9:43" x14ac:dyDescent="0.3">
      <c r="I364" s="70">
        <f t="shared" ca="1" si="8"/>
        <v>125</v>
      </c>
      <c r="J364" s="46"/>
      <c r="K364" s="46"/>
      <c r="L364" s="46"/>
      <c r="M364" s="46"/>
      <c r="N364" s="46"/>
      <c r="O364" s="46"/>
      <c r="P364" s="46"/>
      <c r="Q364" s="46"/>
      <c r="R364" s="46"/>
      <c r="S364" s="46"/>
      <c r="T364" s="46"/>
      <c r="W364" s="46"/>
      <c r="X364" s="46"/>
      <c r="Y364" s="46"/>
      <c r="Z364" s="46"/>
      <c r="AB364" s="46"/>
      <c r="AC364" s="46"/>
      <c r="AD364" s="46"/>
      <c r="AE364" s="46"/>
      <c r="AF364" s="46"/>
      <c r="AG364" s="46"/>
      <c r="AH364" s="46"/>
      <c r="AI364" s="46"/>
      <c r="AJ364" s="46"/>
      <c r="AK364" s="46"/>
      <c r="AL364" s="46"/>
      <c r="AM364" s="46"/>
      <c r="AN364" s="46"/>
      <c r="AO364" s="46"/>
      <c r="AP364" s="46"/>
      <c r="AQ364" s="41"/>
    </row>
    <row r="365" spans="9:43" x14ac:dyDescent="0.3">
      <c r="I365" s="70">
        <f t="shared" ca="1" si="8"/>
        <v>125</v>
      </c>
      <c r="J365" s="46"/>
      <c r="K365" s="46"/>
      <c r="L365" s="46"/>
      <c r="M365" s="46"/>
      <c r="N365" s="46"/>
      <c r="O365" s="46"/>
      <c r="P365" s="46"/>
      <c r="Q365" s="46"/>
      <c r="R365" s="46"/>
      <c r="S365" s="46"/>
      <c r="T365" s="46"/>
      <c r="W365" s="46"/>
      <c r="X365" s="46"/>
      <c r="Y365" s="46"/>
      <c r="Z365" s="46"/>
      <c r="AB365" s="46"/>
      <c r="AC365" s="46"/>
      <c r="AD365" s="46"/>
      <c r="AE365" s="46"/>
      <c r="AF365" s="46"/>
      <c r="AG365" s="46"/>
      <c r="AH365" s="46"/>
      <c r="AI365" s="46"/>
      <c r="AJ365" s="46"/>
      <c r="AK365" s="46"/>
      <c r="AL365" s="46"/>
      <c r="AM365" s="46"/>
      <c r="AN365" s="46"/>
      <c r="AO365" s="46"/>
      <c r="AP365" s="46"/>
      <c r="AQ365" s="41"/>
    </row>
    <row r="366" spans="9:43" x14ac:dyDescent="0.3">
      <c r="I366" s="70">
        <f t="shared" ca="1" si="8"/>
        <v>125</v>
      </c>
      <c r="J366" s="46"/>
      <c r="K366" s="46"/>
      <c r="L366" s="46"/>
      <c r="M366" s="46"/>
      <c r="N366" s="46"/>
      <c r="O366" s="46"/>
      <c r="P366" s="46"/>
      <c r="Q366" s="46"/>
      <c r="R366" s="46"/>
      <c r="S366" s="46"/>
      <c r="T366" s="46"/>
      <c r="W366" s="46"/>
      <c r="X366" s="46"/>
      <c r="Y366" s="46"/>
      <c r="Z366" s="46"/>
      <c r="AB366" s="46"/>
      <c r="AC366" s="46"/>
      <c r="AD366" s="46"/>
      <c r="AE366" s="46"/>
      <c r="AF366" s="46"/>
      <c r="AG366" s="46"/>
      <c r="AH366" s="46"/>
      <c r="AI366" s="46"/>
      <c r="AJ366" s="46"/>
      <c r="AK366" s="46"/>
      <c r="AL366" s="46"/>
      <c r="AM366" s="46"/>
      <c r="AN366" s="46"/>
      <c r="AO366" s="46"/>
      <c r="AP366" s="46"/>
      <c r="AQ366" s="41"/>
    </row>
    <row r="367" spans="9:43" x14ac:dyDescent="0.3">
      <c r="I367" s="70">
        <f t="shared" ca="1" si="8"/>
        <v>125</v>
      </c>
      <c r="J367" s="46"/>
      <c r="K367" s="46"/>
      <c r="L367" s="46"/>
      <c r="M367" s="46"/>
      <c r="N367" s="46"/>
      <c r="O367" s="46"/>
      <c r="P367" s="46"/>
      <c r="Q367" s="46"/>
      <c r="R367" s="46"/>
      <c r="S367" s="46"/>
      <c r="T367" s="46"/>
      <c r="W367" s="46"/>
      <c r="X367" s="46"/>
      <c r="Y367" s="46"/>
      <c r="Z367" s="46"/>
      <c r="AB367" s="46"/>
      <c r="AC367" s="46"/>
      <c r="AD367" s="46"/>
      <c r="AE367" s="46"/>
      <c r="AF367" s="46"/>
      <c r="AG367" s="46"/>
      <c r="AH367" s="46"/>
      <c r="AI367" s="46"/>
      <c r="AJ367" s="46"/>
      <c r="AK367" s="46"/>
      <c r="AL367" s="46"/>
      <c r="AM367" s="46"/>
      <c r="AN367" s="46"/>
      <c r="AO367" s="46"/>
      <c r="AP367" s="46"/>
      <c r="AQ367" s="41"/>
    </row>
    <row r="368" spans="9:43" x14ac:dyDescent="0.3">
      <c r="I368" s="70">
        <f t="shared" ca="1" si="8"/>
        <v>125</v>
      </c>
      <c r="J368" s="46"/>
      <c r="K368" s="46"/>
      <c r="L368" s="46"/>
      <c r="M368" s="46"/>
      <c r="N368" s="46"/>
      <c r="O368" s="46"/>
      <c r="P368" s="46"/>
      <c r="Q368" s="46"/>
      <c r="R368" s="46"/>
      <c r="S368" s="46"/>
      <c r="T368" s="46"/>
      <c r="W368" s="46"/>
      <c r="X368" s="46"/>
      <c r="Y368" s="46"/>
      <c r="Z368" s="46"/>
      <c r="AB368" s="46"/>
      <c r="AC368" s="46"/>
      <c r="AD368" s="46"/>
      <c r="AE368" s="46"/>
      <c r="AF368" s="46"/>
      <c r="AG368" s="46"/>
      <c r="AH368" s="46"/>
      <c r="AI368" s="46"/>
      <c r="AJ368" s="46"/>
      <c r="AK368" s="46"/>
      <c r="AL368" s="46"/>
      <c r="AM368" s="46"/>
      <c r="AN368" s="46"/>
      <c r="AO368" s="46"/>
      <c r="AP368" s="46"/>
      <c r="AQ368" s="41"/>
    </row>
    <row r="369" spans="9:43" x14ac:dyDescent="0.3">
      <c r="I369" s="70">
        <f t="shared" ca="1" si="8"/>
        <v>125</v>
      </c>
      <c r="J369" s="46"/>
      <c r="K369" s="46"/>
      <c r="L369" s="46"/>
      <c r="M369" s="46"/>
      <c r="N369" s="46"/>
      <c r="O369" s="46"/>
      <c r="P369" s="46"/>
      <c r="Q369" s="46"/>
      <c r="R369" s="46"/>
      <c r="S369" s="46"/>
      <c r="T369" s="46"/>
      <c r="W369" s="46"/>
      <c r="X369" s="46"/>
      <c r="Y369" s="46"/>
      <c r="Z369" s="46"/>
      <c r="AB369" s="46"/>
      <c r="AC369" s="46"/>
      <c r="AD369" s="46"/>
      <c r="AE369" s="46"/>
      <c r="AF369" s="46"/>
      <c r="AG369" s="46"/>
      <c r="AH369" s="46"/>
      <c r="AI369" s="46"/>
      <c r="AJ369" s="46"/>
      <c r="AK369" s="46"/>
      <c r="AL369" s="46"/>
      <c r="AM369" s="46"/>
      <c r="AN369" s="46"/>
      <c r="AO369" s="46"/>
      <c r="AP369" s="46"/>
      <c r="AQ369" s="41"/>
    </row>
    <row r="370" spans="9:43" x14ac:dyDescent="0.3">
      <c r="I370" s="70">
        <f t="shared" ca="1" si="8"/>
        <v>125</v>
      </c>
      <c r="J370" s="46"/>
      <c r="K370" s="46"/>
      <c r="L370" s="46"/>
      <c r="M370" s="46"/>
      <c r="N370" s="46"/>
      <c r="O370" s="46"/>
      <c r="P370" s="46"/>
      <c r="Q370" s="46"/>
      <c r="R370" s="46"/>
      <c r="S370" s="46"/>
      <c r="T370" s="46"/>
      <c r="W370" s="46"/>
      <c r="X370" s="46"/>
      <c r="Y370" s="46"/>
      <c r="Z370" s="46"/>
      <c r="AB370" s="46"/>
      <c r="AC370" s="46"/>
      <c r="AD370" s="46"/>
      <c r="AE370" s="46"/>
      <c r="AF370" s="46"/>
      <c r="AG370" s="46"/>
      <c r="AH370" s="46"/>
      <c r="AI370" s="46"/>
      <c r="AJ370" s="46"/>
      <c r="AK370" s="46"/>
      <c r="AL370" s="46"/>
      <c r="AM370" s="46"/>
      <c r="AN370" s="46"/>
      <c r="AO370" s="46"/>
      <c r="AP370" s="46"/>
      <c r="AQ370" s="41"/>
    </row>
    <row r="371" spans="9:43" x14ac:dyDescent="0.3">
      <c r="I371" s="70">
        <f t="shared" ca="1" si="8"/>
        <v>125</v>
      </c>
      <c r="J371" s="46"/>
      <c r="K371" s="46"/>
      <c r="L371" s="46"/>
      <c r="M371" s="46"/>
      <c r="N371" s="46"/>
      <c r="O371" s="46"/>
      <c r="P371" s="46"/>
      <c r="Q371" s="46"/>
      <c r="R371" s="46"/>
      <c r="S371" s="46"/>
      <c r="T371" s="46"/>
      <c r="W371" s="46"/>
      <c r="X371" s="46"/>
      <c r="Y371" s="46"/>
      <c r="Z371" s="46"/>
      <c r="AB371" s="46"/>
      <c r="AC371" s="46"/>
      <c r="AD371" s="46"/>
      <c r="AE371" s="46"/>
      <c r="AF371" s="46"/>
      <c r="AG371" s="46"/>
      <c r="AH371" s="46"/>
      <c r="AI371" s="46"/>
      <c r="AJ371" s="46"/>
      <c r="AK371" s="46"/>
      <c r="AL371" s="46"/>
      <c r="AM371" s="46"/>
      <c r="AN371" s="46"/>
      <c r="AO371" s="46"/>
      <c r="AP371" s="46"/>
      <c r="AQ371" s="41"/>
    </row>
    <row r="372" spans="9:43" x14ac:dyDescent="0.3">
      <c r="I372" s="70">
        <f t="shared" ca="1" si="8"/>
        <v>125</v>
      </c>
      <c r="J372" s="46"/>
      <c r="K372" s="46"/>
      <c r="L372" s="46"/>
      <c r="M372" s="46"/>
      <c r="N372" s="46"/>
      <c r="O372" s="46"/>
      <c r="P372" s="46"/>
      <c r="Q372" s="46"/>
      <c r="R372" s="46"/>
      <c r="S372" s="46"/>
      <c r="T372" s="46"/>
      <c r="W372" s="46"/>
      <c r="X372" s="46"/>
      <c r="Y372" s="46"/>
      <c r="Z372" s="46"/>
      <c r="AB372" s="46"/>
      <c r="AC372" s="46"/>
      <c r="AD372" s="46"/>
      <c r="AE372" s="46"/>
      <c r="AF372" s="46"/>
      <c r="AG372" s="46"/>
      <c r="AH372" s="46"/>
      <c r="AI372" s="46"/>
      <c r="AJ372" s="46"/>
      <c r="AK372" s="46"/>
      <c r="AL372" s="46"/>
      <c r="AM372" s="46"/>
      <c r="AN372" s="46"/>
      <c r="AO372" s="46"/>
      <c r="AP372" s="46"/>
      <c r="AQ372" s="41"/>
    </row>
    <row r="373" spans="9:43" x14ac:dyDescent="0.3">
      <c r="I373" s="70">
        <f t="shared" ca="1" si="8"/>
        <v>125</v>
      </c>
      <c r="J373" s="46"/>
      <c r="K373" s="46"/>
      <c r="L373" s="46"/>
      <c r="M373" s="46"/>
      <c r="N373" s="46"/>
      <c r="O373" s="46"/>
      <c r="P373" s="46"/>
      <c r="Q373" s="46"/>
      <c r="R373" s="46"/>
      <c r="S373" s="46"/>
      <c r="T373" s="46"/>
      <c r="W373" s="46"/>
      <c r="X373" s="46"/>
      <c r="Y373" s="46"/>
      <c r="Z373" s="46"/>
      <c r="AB373" s="46"/>
      <c r="AC373" s="46"/>
      <c r="AD373" s="46"/>
      <c r="AE373" s="46"/>
      <c r="AF373" s="46"/>
      <c r="AG373" s="46"/>
      <c r="AH373" s="46"/>
      <c r="AI373" s="46"/>
      <c r="AJ373" s="46"/>
      <c r="AK373" s="46"/>
      <c r="AL373" s="46"/>
      <c r="AM373" s="46"/>
      <c r="AN373" s="46"/>
      <c r="AO373" s="46"/>
      <c r="AP373" s="46"/>
      <c r="AQ373" s="41"/>
    </row>
    <row r="374" spans="9:43" x14ac:dyDescent="0.3">
      <c r="I374" s="70">
        <f t="shared" ca="1" si="8"/>
        <v>125</v>
      </c>
      <c r="J374" s="46"/>
      <c r="K374" s="46"/>
      <c r="L374" s="46"/>
      <c r="M374" s="46"/>
      <c r="N374" s="46"/>
      <c r="O374" s="46"/>
      <c r="P374" s="46"/>
      <c r="Q374" s="46"/>
      <c r="R374" s="46"/>
      <c r="S374" s="46"/>
      <c r="T374" s="46"/>
      <c r="W374" s="46"/>
      <c r="X374" s="46"/>
      <c r="Y374" s="46"/>
      <c r="Z374" s="46"/>
      <c r="AB374" s="46"/>
      <c r="AC374" s="46"/>
      <c r="AD374" s="46"/>
      <c r="AE374" s="46"/>
      <c r="AF374" s="46"/>
      <c r="AG374" s="46"/>
      <c r="AH374" s="46"/>
      <c r="AI374" s="46"/>
      <c r="AJ374" s="46"/>
      <c r="AK374" s="46"/>
      <c r="AL374" s="46"/>
      <c r="AM374" s="46"/>
      <c r="AN374" s="46"/>
      <c r="AO374" s="46"/>
      <c r="AP374" s="46"/>
      <c r="AQ374" s="41"/>
    </row>
    <row r="375" spans="9:43" x14ac:dyDescent="0.3">
      <c r="I375" s="70">
        <f t="shared" ca="1" si="8"/>
        <v>125</v>
      </c>
      <c r="J375" s="46"/>
      <c r="K375" s="46"/>
      <c r="L375" s="46"/>
      <c r="M375" s="46"/>
      <c r="N375" s="46"/>
      <c r="O375" s="46"/>
      <c r="P375" s="46"/>
      <c r="Q375" s="46"/>
      <c r="R375" s="46"/>
      <c r="S375" s="46"/>
      <c r="T375" s="46"/>
      <c r="W375" s="46"/>
      <c r="X375" s="46"/>
      <c r="Y375" s="46"/>
      <c r="Z375" s="46"/>
      <c r="AB375" s="46"/>
      <c r="AC375" s="46"/>
      <c r="AD375" s="46"/>
      <c r="AE375" s="46"/>
      <c r="AF375" s="46"/>
      <c r="AG375" s="46"/>
      <c r="AH375" s="46"/>
      <c r="AI375" s="46"/>
      <c r="AJ375" s="46"/>
      <c r="AK375" s="46"/>
      <c r="AL375" s="46"/>
      <c r="AM375" s="46"/>
      <c r="AN375" s="46"/>
      <c r="AO375" s="46"/>
      <c r="AP375" s="46"/>
      <c r="AQ375" s="41"/>
    </row>
    <row r="376" spans="9:43" x14ac:dyDescent="0.3">
      <c r="I376" s="70">
        <f t="shared" ca="1" si="8"/>
        <v>125</v>
      </c>
      <c r="J376" s="46"/>
      <c r="K376" s="46"/>
      <c r="L376" s="46"/>
      <c r="M376" s="46"/>
      <c r="N376" s="46"/>
      <c r="O376" s="46"/>
      <c r="P376" s="46"/>
      <c r="Q376" s="46"/>
      <c r="R376" s="46"/>
      <c r="S376" s="46"/>
      <c r="T376" s="46"/>
      <c r="W376" s="46"/>
      <c r="X376" s="46"/>
      <c r="Y376" s="46"/>
      <c r="Z376" s="46"/>
      <c r="AB376" s="46"/>
      <c r="AC376" s="46"/>
      <c r="AD376" s="46"/>
      <c r="AE376" s="46"/>
      <c r="AF376" s="46"/>
      <c r="AG376" s="46"/>
      <c r="AH376" s="46"/>
      <c r="AI376" s="46"/>
      <c r="AJ376" s="46"/>
      <c r="AK376" s="46"/>
      <c r="AL376" s="46"/>
      <c r="AM376" s="46"/>
      <c r="AN376" s="46"/>
      <c r="AO376" s="46"/>
      <c r="AP376" s="46"/>
      <c r="AQ376" s="41"/>
    </row>
    <row r="377" spans="9:43" x14ac:dyDescent="0.3">
      <c r="I377" s="70">
        <f t="shared" ca="1" si="8"/>
        <v>125</v>
      </c>
      <c r="J377" s="46"/>
      <c r="K377" s="46"/>
      <c r="L377" s="46"/>
      <c r="M377" s="46"/>
      <c r="N377" s="46"/>
      <c r="O377" s="46"/>
      <c r="P377" s="46"/>
      <c r="Q377" s="46"/>
      <c r="R377" s="46"/>
      <c r="S377" s="46"/>
      <c r="T377" s="46"/>
      <c r="W377" s="46"/>
      <c r="X377" s="46"/>
      <c r="Y377" s="46"/>
      <c r="Z377" s="46"/>
      <c r="AB377" s="46"/>
      <c r="AC377" s="46"/>
      <c r="AD377" s="46"/>
      <c r="AE377" s="46"/>
      <c r="AF377" s="46"/>
      <c r="AG377" s="46"/>
      <c r="AH377" s="46"/>
      <c r="AI377" s="46"/>
      <c r="AJ377" s="46"/>
      <c r="AK377" s="46"/>
      <c r="AL377" s="46"/>
      <c r="AM377" s="46"/>
      <c r="AN377" s="46"/>
      <c r="AO377" s="46"/>
      <c r="AP377" s="46"/>
      <c r="AQ377" s="41"/>
    </row>
    <row r="378" spans="9:43" x14ac:dyDescent="0.3">
      <c r="I378" s="70">
        <f t="shared" ca="1" si="8"/>
        <v>125</v>
      </c>
      <c r="J378" s="46"/>
      <c r="K378" s="46"/>
      <c r="L378" s="46"/>
      <c r="M378" s="46"/>
      <c r="N378" s="46"/>
      <c r="O378" s="46"/>
      <c r="P378" s="46"/>
      <c r="Q378" s="46"/>
      <c r="R378" s="46"/>
      <c r="S378" s="46"/>
      <c r="T378" s="46"/>
      <c r="W378" s="46"/>
      <c r="X378" s="46"/>
      <c r="Y378" s="46"/>
      <c r="Z378" s="46"/>
      <c r="AB378" s="46"/>
      <c r="AC378" s="46"/>
      <c r="AD378" s="46"/>
      <c r="AE378" s="46"/>
      <c r="AF378" s="46"/>
      <c r="AG378" s="46"/>
      <c r="AH378" s="46"/>
      <c r="AI378" s="46"/>
      <c r="AJ378" s="46"/>
      <c r="AK378" s="46"/>
      <c r="AL378" s="46"/>
      <c r="AM378" s="46"/>
      <c r="AN378" s="46"/>
      <c r="AO378" s="46"/>
      <c r="AP378" s="46"/>
      <c r="AQ378" s="41"/>
    </row>
    <row r="379" spans="9:43" x14ac:dyDescent="0.3">
      <c r="I379" s="70">
        <f t="shared" ca="1" si="8"/>
        <v>125</v>
      </c>
      <c r="J379" s="46"/>
      <c r="K379" s="46"/>
      <c r="L379" s="46"/>
      <c r="M379" s="46"/>
      <c r="N379" s="46"/>
      <c r="O379" s="46"/>
      <c r="P379" s="46"/>
      <c r="Q379" s="46"/>
      <c r="R379" s="46"/>
      <c r="S379" s="46"/>
      <c r="T379" s="46"/>
      <c r="W379" s="46"/>
      <c r="X379" s="46"/>
      <c r="Y379" s="46"/>
      <c r="Z379" s="46"/>
      <c r="AB379" s="46"/>
      <c r="AC379" s="46"/>
      <c r="AD379" s="46"/>
      <c r="AE379" s="46"/>
      <c r="AF379" s="46"/>
      <c r="AG379" s="46"/>
      <c r="AH379" s="46"/>
      <c r="AI379" s="46"/>
      <c r="AJ379" s="46"/>
      <c r="AK379" s="46"/>
      <c r="AL379" s="46"/>
      <c r="AM379" s="46"/>
      <c r="AN379" s="46"/>
      <c r="AO379" s="46"/>
      <c r="AP379" s="46"/>
      <c r="AQ379" s="41"/>
    </row>
    <row r="380" spans="9:43" x14ac:dyDescent="0.3">
      <c r="I380" s="70">
        <f t="shared" ca="1" si="8"/>
        <v>125</v>
      </c>
      <c r="J380" s="46"/>
      <c r="K380" s="46"/>
      <c r="L380" s="46"/>
      <c r="M380" s="46"/>
      <c r="N380" s="46"/>
      <c r="O380" s="46"/>
      <c r="P380" s="46"/>
      <c r="Q380" s="46"/>
      <c r="R380" s="46"/>
      <c r="S380" s="46"/>
      <c r="T380" s="46"/>
      <c r="W380" s="46"/>
      <c r="X380" s="46"/>
      <c r="Y380" s="46"/>
      <c r="Z380" s="46"/>
      <c r="AB380" s="46"/>
      <c r="AC380" s="46"/>
      <c r="AD380" s="46"/>
      <c r="AE380" s="46"/>
      <c r="AF380" s="46"/>
      <c r="AG380" s="46"/>
      <c r="AH380" s="46"/>
      <c r="AI380" s="46"/>
      <c r="AJ380" s="46"/>
      <c r="AK380" s="46"/>
      <c r="AL380" s="46"/>
      <c r="AM380" s="46"/>
      <c r="AN380" s="46"/>
      <c r="AO380" s="46"/>
      <c r="AP380" s="46"/>
      <c r="AQ380" s="41"/>
    </row>
    <row r="381" spans="9:43" x14ac:dyDescent="0.3">
      <c r="I381" s="70">
        <f t="shared" ca="1" si="8"/>
        <v>125</v>
      </c>
      <c r="J381" s="46"/>
      <c r="K381" s="46"/>
      <c r="L381" s="46"/>
      <c r="M381" s="46"/>
      <c r="N381" s="46"/>
      <c r="O381" s="46"/>
      <c r="P381" s="46"/>
      <c r="Q381" s="46"/>
      <c r="R381" s="46"/>
      <c r="S381" s="46"/>
      <c r="T381" s="46"/>
      <c r="W381" s="46"/>
      <c r="X381" s="46"/>
      <c r="Y381" s="46"/>
      <c r="Z381" s="46"/>
      <c r="AB381" s="46"/>
      <c r="AC381" s="46"/>
      <c r="AD381" s="46"/>
      <c r="AE381" s="46"/>
      <c r="AF381" s="46"/>
      <c r="AG381" s="46"/>
      <c r="AH381" s="46"/>
      <c r="AI381" s="46"/>
      <c r="AJ381" s="46"/>
      <c r="AK381" s="46"/>
      <c r="AL381" s="46"/>
      <c r="AM381" s="46"/>
      <c r="AN381" s="46"/>
      <c r="AO381" s="46"/>
      <c r="AP381" s="46"/>
      <c r="AQ381" s="41"/>
    </row>
    <row r="382" spans="9:43" x14ac:dyDescent="0.3">
      <c r="I382" s="70">
        <f t="shared" ca="1" si="8"/>
        <v>125</v>
      </c>
      <c r="J382" s="46"/>
      <c r="K382" s="46"/>
      <c r="L382" s="46"/>
      <c r="M382" s="46"/>
      <c r="N382" s="46"/>
      <c r="O382" s="46"/>
      <c r="P382" s="46"/>
      <c r="Q382" s="46"/>
      <c r="R382" s="46"/>
      <c r="S382" s="46"/>
      <c r="T382" s="46"/>
      <c r="W382" s="46"/>
      <c r="X382" s="46"/>
      <c r="Y382" s="46"/>
      <c r="Z382" s="46"/>
      <c r="AB382" s="46"/>
      <c r="AC382" s="46"/>
      <c r="AD382" s="46"/>
      <c r="AE382" s="46"/>
      <c r="AF382" s="46"/>
      <c r="AG382" s="46"/>
      <c r="AH382" s="46"/>
      <c r="AI382" s="46"/>
      <c r="AJ382" s="46"/>
      <c r="AK382" s="46"/>
      <c r="AL382" s="46"/>
      <c r="AM382" s="46"/>
      <c r="AN382" s="46"/>
      <c r="AO382" s="46"/>
      <c r="AP382" s="46"/>
      <c r="AQ382" s="41"/>
    </row>
    <row r="383" spans="9:43" x14ac:dyDescent="0.3">
      <c r="I383" s="70">
        <f t="shared" ca="1" si="8"/>
        <v>125</v>
      </c>
      <c r="J383" s="46"/>
      <c r="K383" s="46"/>
      <c r="L383" s="46"/>
      <c r="M383" s="46"/>
      <c r="N383" s="46"/>
      <c r="O383" s="46"/>
      <c r="P383" s="46"/>
      <c r="Q383" s="46"/>
      <c r="R383" s="46"/>
      <c r="S383" s="46"/>
      <c r="T383" s="46"/>
      <c r="W383" s="46"/>
      <c r="X383" s="46"/>
      <c r="Y383" s="46"/>
      <c r="Z383" s="46"/>
      <c r="AB383" s="46"/>
      <c r="AC383" s="46"/>
      <c r="AD383" s="46"/>
      <c r="AE383" s="46"/>
      <c r="AF383" s="46"/>
      <c r="AG383" s="46"/>
      <c r="AH383" s="46"/>
      <c r="AI383" s="46"/>
      <c r="AJ383" s="46"/>
      <c r="AK383" s="46"/>
      <c r="AL383" s="46"/>
      <c r="AM383" s="46"/>
      <c r="AN383" s="46"/>
      <c r="AO383" s="46"/>
      <c r="AP383" s="46"/>
      <c r="AQ383" s="41"/>
    </row>
    <row r="384" spans="9:43" x14ac:dyDescent="0.3">
      <c r="I384" s="70">
        <f t="shared" ca="1" si="8"/>
        <v>125</v>
      </c>
      <c r="J384" s="46"/>
      <c r="K384" s="46"/>
      <c r="L384" s="46"/>
      <c r="M384" s="46"/>
      <c r="N384" s="46"/>
      <c r="O384" s="46"/>
      <c r="P384" s="46"/>
      <c r="Q384" s="46"/>
      <c r="R384" s="46"/>
      <c r="S384" s="46"/>
      <c r="T384" s="46"/>
      <c r="W384" s="46"/>
      <c r="X384" s="46"/>
      <c r="Y384" s="46"/>
      <c r="Z384" s="46"/>
      <c r="AB384" s="46"/>
      <c r="AC384" s="46"/>
      <c r="AD384" s="46"/>
      <c r="AE384" s="46"/>
      <c r="AF384" s="46"/>
      <c r="AG384" s="46"/>
      <c r="AH384" s="46"/>
      <c r="AI384" s="46"/>
      <c r="AJ384" s="46"/>
      <c r="AK384" s="46"/>
      <c r="AL384" s="46"/>
      <c r="AM384" s="46"/>
      <c r="AN384" s="46"/>
      <c r="AO384" s="46"/>
      <c r="AP384" s="46"/>
      <c r="AQ384" s="41"/>
    </row>
    <row r="385" spans="9:43" x14ac:dyDescent="0.3">
      <c r="I385" s="70">
        <f t="shared" ca="1" si="8"/>
        <v>125</v>
      </c>
      <c r="J385" s="46"/>
      <c r="K385" s="46"/>
      <c r="L385" s="46"/>
      <c r="M385" s="46"/>
      <c r="N385" s="46"/>
      <c r="O385" s="46"/>
      <c r="P385" s="46"/>
      <c r="Q385" s="46"/>
      <c r="R385" s="46"/>
      <c r="S385" s="46"/>
      <c r="T385" s="46"/>
      <c r="W385" s="46"/>
      <c r="X385" s="46"/>
      <c r="Y385" s="46"/>
      <c r="Z385" s="46"/>
      <c r="AB385" s="46"/>
      <c r="AC385" s="46"/>
      <c r="AD385" s="46"/>
      <c r="AE385" s="46"/>
      <c r="AF385" s="46"/>
      <c r="AG385" s="46"/>
      <c r="AH385" s="46"/>
      <c r="AI385" s="46"/>
      <c r="AJ385" s="46"/>
      <c r="AK385" s="46"/>
      <c r="AL385" s="46"/>
      <c r="AM385" s="46"/>
      <c r="AN385" s="46"/>
      <c r="AO385" s="46"/>
      <c r="AP385" s="46"/>
      <c r="AQ385" s="41"/>
    </row>
    <row r="386" spans="9:43" x14ac:dyDescent="0.3">
      <c r="I386" s="70">
        <f t="shared" ca="1" si="8"/>
        <v>125</v>
      </c>
      <c r="J386" s="46"/>
      <c r="K386" s="46"/>
      <c r="L386" s="46"/>
      <c r="M386" s="46"/>
      <c r="N386" s="46"/>
      <c r="O386" s="46"/>
      <c r="P386" s="46"/>
      <c r="Q386" s="46"/>
      <c r="R386" s="46"/>
      <c r="S386" s="46"/>
      <c r="T386" s="46"/>
      <c r="W386" s="46"/>
      <c r="X386" s="46"/>
      <c r="Y386" s="46"/>
      <c r="Z386" s="46"/>
      <c r="AB386" s="46"/>
      <c r="AC386" s="46"/>
      <c r="AD386" s="46"/>
      <c r="AE386" s="46"/>
      <c r="AF386" s="46"/>
      <c r="AG386" s="46"/>
      <c r="AH386" s="46"/>
      <c r="AI386" s="46"/>
      <c r="AJ386" s="46"/>
      <c r="AK386" s="46"/>
      <c r="AL386" s="46"/>
      <c r="AM386" s="46"/>
      <c r="AN386" s="46"/>
      <c r="AO386" s="46"/>
      <c r="AP386" s="46"/>
      <c r="AQ386" s="41"/>
    </row>
    <row r="387" spans="9:43" x14ac:dyDescent="0.3">
      <c r="I387" s="70">
        <f t="shared" ca="1" si="8"/>
        <v>125</v>
      </c>
      <c r="J387" s="46"/>
      <c r="K387" s="46"/>
      <c r="L387" s="46"/>
      <c r="M387" s="46"/>
      <c r="N387" s="46"/>
      <c r="O387" s="46"/>
      <c r="P387" s="46"/>
      <c r="Q387" s="46"/>
      <c r="R387" s="46"/>
      <c r="S387" s="46"/>
      <c r="T387" s="46"/>
      <c r="W387" s="46"/>
      <c r="X387" s="46"/>
      <c r="Y387" s="46"/>
      <c r="Z387" s="46"/>
      <c r="AB387" s="46"/>
      <c r="AC387" s="46"/>
      <c r="AD387" s="46"/>
      <c r="AE387" s="46"/>
      <c r="AF387" s="46"/>
      <c r="AG387" s="46"/>
      <c r="AH387" s="46"/>
      <c r="AI387" s="46"/>
      <c r="AJ387" s="46"/>
      <c r="AK387" s="46"/>
      <c r="AL387" s="46"/>
      <c r="AM387" s="46"/>
      <c r="AN387" s="46"/>
      <c r="AO387" s="46"/>
      <c r="AP387" s="46"/>
      <c r="AQ387" s="41"/>
    </row>
    <row r="388" spans="9:43" x14ac:dyDescent="0.3">
      <c r="I388" s="70">
        <f t="shared" ca="1" si="8"/>
        <v>125</v>
      </c>
      <c r="J388" s="46"/>
      <c r="K388" s="46"/>
      <c r="L388" s="46"/>
      <c r="M388" s="46"/>
      <c r="N388" s="46"/>
      <c r="O388" s="46"/>
      <c r="P388" s="46"/>
      <c r="Q388" s="46"/>
      <c r="R388" s="46"/>
      <c r="S388" s="46"/>
      <c r="T388" s="46"/>
      <c r="W388" s="46"/>
      <c r="X388" s="46"/>
      <c r="Y388" s="46"/>
      <c r="Z388" s="46"/>
      <c r="AB388" s="46"/>
      <c r="AC388" s="46"/>
      <c r="AD388" s="46"/>
      <c r="AE388" s="46"/>
      <c r="AF388" s="46"/>
      <c r="AG388" s="46"/>
      <c r="AH388" s="46"/>
      <c r="AI388" s="46"/>
      <c r="AJ388" s="46"/>
      <c r="AK388" s="46"/>
      <c r="AL388" s="46"/>
      <c r="AM388" s="46"/>
      <c r="AN388" s="46"/>
      <c r="AO388" s="46"/>
      <c r="AP388" s="46"/>
      <c r="AQ388" s="41"/>
    </row>
    <row r="389" spans="9:43" x14ac:dyDescent="0.3">
      <c r="I389" s="70">
        <f t="shared" ca="1" si="8"/>
        <v>125</v>
      </c>
      <c r="J389" s="46"/>
      <c r="K389" s="46"/>
      <c r="L389" s="46"/>
      <c r="M389" s="46"/>
      <c r="N389" s="46"/>
      <c r="O389" s="46"/>
      <c r="P389" s="46"/>
      <c r="Q389" s="46"/>
      <c r="R389" s="46"/>
      <c r="S389" s="46"/>
      <c r="T389" s="46"/>
      <c r="W389" s="46"/>
      <c r="X389" s="46"/>
      <c r="Y389" s="46"/>
      <c r="Z389" s="46"/>
      <c r="AB389" s="46"/>
      <c r="AC389" s="46"/>
      <c r="AD389" s="46"/>
      <c r="AE389" s="46"/>
      <c r="AF389" s="46"/>
      <c r="AG389" s="46"/>
      <c r="AH389" s="46"/>
      <c r="AI389" s="46"/>
      <c r="AJ389" s="46"/>
      <c r="AK389" s="46"/>
      <c r="AL389" s="46"/>
      <c r="AM389" s="46"/>
      <c r="AN389" s="46"/>
      <c r="AO389" s="46"/>
      <c r="AP389" s="46"/>
      <c r="AQ389" s="41"/>
    </row>
    <row r="390" spans="9:43" x14ac:dyDescent="0.3">
      <c r="I390" s="70">
        <f t="shared" ca="1" si="8"/>
        <v>125</v>
      </c>
      <c r="J390" s="46"/>
      <c r="K390" s="46"/>
      <c r="L390" s="46"/>
      <c r="M390" s="46"/>
      <c r="N390" s="46"/>
      <c r="O390" s="46"/>
      <c r="P390" s="46"/>
      <c r="Q390" s="46"/>
      <c r="R390" s="46"/>
      <c r="S390" s="46"/>
      <c r="T390" s="46"/>
      <c r="W390" s="46"/>
      <c r="X390" s="46"/>
      <c r="Y390" s="46"/>
      <c r="Z390" s="46"/>
      <c r="AB390" s="46"/>
      <c r="AC390" s="46"/>
      <c r="AD390" s="46"/>
      <c r="AE390" s="46"/>
      <c r="AF390" s="46"/>
      <c r="AG390" s="46"/>
      <c r="AH390" s="46"/>
      <c r="AI390" s="46"/>
      <c r="AJ390" s="46"/>
      <c r="AK390" s="46"/>
      <c r="AL390" s="46"/>
      <c r="AM390" s="46"/>
      <c r="AN390" s="46"/>
      <c r="AO390" s="46"/>
      <c r="AP390" s="46"/>
      <c r="AQ390" s="41"/>
    </row>
    <row r="391" spans="9:43" x14ac:dyDescent="0.3">
      <c r="I391" s="70">
        <f t="shared" ca="1" si="8"/>
        <v>125</v>
      </c>
      <c r="J391" s="46"/>
      <c r="K391" s="46"/>
      <c r="L391" s="46"/>
      <c r="M391" s="46"/>
      <c r="N391" s="46"/>
      <c r="O391" s="46"/>
      <c r="P391" s="46"/>
      <c r="Q391" s="46"/>
      <c r="R391" s="46"/>
      <c r="S391" s="46"/>
      <c r="T391" s="46"/>
      <c r="W391" s="46"/>
      <c r="X391" s="46"/>
      <c r="Y391" s="46"/>
      <c r="Z391" s="46"/>
      <c r="AB391" s="46"/>
      <c r="AC391" s="46"/>
      <c r="AD391" s="46"/>
      <c r="AE391" s="46"/>
      <c r="AF391" s="46"/>
      <c r="AG391" s="46"/>
      <c r="AH391" s="46"/>
      <c r="AI391" s="46"/>
      <c r="AJ391" s="46"/>
      <c r="AK391" s="46"/>
      <c r="AL391" s="46"/>
      <c r="AM391" s="46"/>
      <c r="AN391" s="46"/>
      <c r="AO391" s="46"/>
      <c r="AP391" s="46"/>
      <c r="AQ391" s="41"/>
    </row>
    <row r="392" spans="9:43" x14ac:dyDescent="0.3">
      <c r="I392" s="70">
        <f t="shared" ca="1" si="8"/>
        <v>125</v>
      </c>
      <c r="J392" s="46"/>
      <c r="K392" s="46"/>
      <c r="L392" s="46"/>
      <c r="M392" s="46"/>
      <c r="N392" s="46"/>
      <c r="O392" s="46"/>
      <c r="P392" s="46"/>
      <c r="Q392" s="46"/>
      <c r="R392" s="46"/>
      <c r="S392" s="46"/>
      <c r="T392" s="46"/>
      <c r="W392" s="46"/>
      <c r="X392" s="46"/>
      <c r="Y392" s="46"/>
      <c r="Z392" s="46"/>
      <c r="AB392" s="46"/>
      <c r="AC392" s="46"/>
      <c r="AD392" s="46"/>
      <c r="AE392" s="46"/>
      <c r="AF392" s="46"/>
      <c r="AG392" s="46"/>
      <c r="AH392" s="46"/>
      <c r="AI392" s="46"/>
      <c r="AJ392" s="46"/>
      <c r="AK392" s="46"/>
      <c r="AL392" s="46"/>
      <c r="AM392" s="46"/>
      <c r="AN392" s="46"/>
      <c r="AO392" s="46"/>
      <c r="AP392" s="46"/>
      <c r="AQ392" s="41"/>
    </row>
    <row r="393" spans="9:43" x14ac:dyDescent="0.3">
      <c r="I393" s="70">
        <f t="shared" ca="1" si="8"/>
        <v>125</v>
      </c>
      <c r="J393" s="46"/>
      <c r="K393" s="46"/>
      <c r="L393" s="46"/>
      <c r="M393" s="46"/>
      <c r="N393" s="46"/>
      <c r="O393" s="46"/>
      <c r="P393" s="46"/>
      <c r="Q393" s="46"/>
      <c r="R393" s="46"/>
      <c r="S393" s="46"/>
      <c r="T393" s="46"/>
      <c r="W393" s="46"/>
      <c r="X393" s="46"/>
      <c r="Y393" s="46"/>
      <c r="Z393" s="46"/>
      <c r="AB393" s="46"/>
      <c r="AC393" s="46"/>
      <c r="AD393" s="46"/>
      <c r="AE393" s="46"/>
      <c r="AF393" s="46"/>
      <c r="AG393" s="46"/>
      <c r="AH393" s="46"/>
      <c r="AI393" s="46"/>
      <c r="AJ393" s="46"/>
      <c r="AK393" s="46"/>
      <c r="AL393" s="46"/>
      <c r="AM393" s="46"/>
      <c r="AN393" s="46"/>
      <c r="AO393" s="46"/>
      <c r="AP393" s="46"/>
      <c r="AQ393" s="41"/>
    </row>
    <row r="394" spans="9:43" x14ac:dyDescent="0.3">
      <c r="I394" s="70">
        <f t="shared" ca="1" si="8"/>
        <v>125</v>
      </c>
      <c r="J394" s="46"/>
      <c r="K394" s="46"/>
      <c r="L394" s="46"/>
      <c r="M394" s="46"/>
      <c r="N394" s="46"/>
      <c r="O394" s="46"/>
      <c r="P394" s="46"/>
      <c r="Q394" s="46"/>
      <c r="R394" s="46"/>
      <c r="S394" s="46"/>
      <c r="T394" s="46"/>
      <c r="W394" s="46"/>
      <c r="X394" s="46"/>
      <c r="Y394" s="46"/>
      <c r="Z394" s="46"/>
      <c r="AB394" s="46"/>
      <c r="AC394" s="46"/>
      <c r="AD394" s="46"/>
      <c r="AE394" s="46"/>
      <c r="AF394" s="46"/>
      <c r="AG394" s="46"/>
      <c r="AH394" s="46"/>
      <c r="AI394" s="46"/>
      <c r="AJ394" s="46"/>
      <c r="AK394" s="46"/>
      <c r="AL394" s="46"/>
      <c r="AM394" s="46"/>
      <c r="AN394" s="46"/>
      <c r="AO394" s="46"/>
      <c r="AP394" s="46"/>
      <c r="AQ394" s="41"/>
    </row>
    <row r="395" spans="9:43" x14ac:dyDescent="0.3">
      <c r="I395" s="70">
        <f t="shared" ca="1" si="8"/>
        <v>125</v>
      </c>
      <c r="J395" s="46"/>
      <c r="K395" s="46"/>
      <c r="L395" s="46"/>
      <c r="M395" s="46"/>
      <c r="N395" s="46"/>
      <c r="O395" s="46"/>
      <c r="P395" s="46"/>
      <c r="Q395" s="46"/>
      <c r="R395" s="46"/>
      <c r="S395" s="46"/>
      <c r="T395" s="46"/>
      <c r="W395" s="46"/>
      <c r="X395" s="46"/>
      <c r="Y395" s="46"/>
      <c r="Z395" s="46"/>
      <c r="AB395" s="46"/>
      <c r="AC395" s="46"/>
      <c r="AD395" s="46"/>
      <c r="AE395" s="46"/>
      <c r="AF395" s="46"/>
      <c r="AG395" s="46"/>
      <c r="AH395" s="46"/>
      <c r="AI395" s="46"/>
      <c r="AJ395" s="46"/>
      <c r="AK395" s="46"/>
      <c r="AL395" s="46"/>
      <c r="AM395" s="46"/>
      <c r="AN395" s="46"/>
      <c r="AO395" s="46"/>
      <c r="AP395" s="46"/>
      <c r="AQ395" s="41"/>
    </row>
    <row r="396" spans="9:43" x14ac:dyDescent="0.3">
      <c r="I396" s="70">
        <f t="shared" ca="1" si="8"/>
        <v>125</v>
      </c>
      <c r="J396" s="46"/>
      <c r="K396" s="46"/>
      <c r="L396" s="46"/>
      <c r="M396" s="46"/>
      <c r="N396" s="46"/>
      <c r="O396" s="46"/>
      <c r="P396" s="46"/>
      <c r="Q396" s="46"/>
      <c r="R396" s="46"/>
      <c r="S396" s="46"/>
      <c r="T396" s="46"/>
      <c r="W396" s="46"/>
      <c r="X396" s="46"/>
      <c r="Y396" s="46"/>
      <c r="Z396" s="46"/>
      <c r="AB396" s="46"/>
      <c r="AC396" s="46"/>
      <c r="AD396" s="46"/>
      <c r="AE396" s="46"/>
      <c r="AF396" s="46"/>
      <c r="AG396" s="46"/>
      <c r="AH396" s="46"/>
      <c r="AI396" s="46"/>
      <c r="AJ396" s="46"/>
      <c r="AK396" s="46"/>
      <c r="AL396" s="46"/>
      <c r="AM396" s="46"/>
      <c r="AN396" s="46"/>
      <c r="AO396" s="46"/>
      <c r="AP396" s="46"/>
      <c r="AQ396" s="41"/>
    </row>
    <row r="397" spans="9:43" x14ac:dyDescent="0.3">
      <c r="I397" s="70">
        <f t="shared" ca="1" si="8"/>
        <v>125</v>
      </c>
      <c r="J397" s="46"/>
      <c r="K397" s="46"/>
      <c r="L397" s="46"/>
      <c r="M397" s="46"/>
      <c r="N397" s="46"/>
      <c r="O397" s="46"/>
      <c r="P397" s="46"/>
      <c r="Q397" s="46"/>
      <c r="R397" s="46"/>
      <c r="S397" s="46"/>
      <c r="T397" s="46"/>
      <c r="W397" s="46"/>
      <c r="X397" s="46"/>
      <c r="Y397" s="46"/>
      <c r="Z397" s="46"/>
      <c r="AB397" s="46"/>
      <c r="AC397" s="46"/>
      <c r="AD397" s="46"/>
      <c r="AE397" s="46"/>
      <c r="AF397" s="46"/>
      <c r="AG397" s="46"/>
      <c r="AH397" s="46"/>
      <c r="AI397" s="46"/>
      <c r="AJ397" s="46"/>
      <c r="AK397" s="46"/>
      <c r="AL397" s="46"/>
      <c r="AM397" s="46"/>
      <c r="AN397" s="46"/>
      <c r="AO397" s="46"/>
      <c r="AP397" s="46"/>
      <c r="AQ397" s="41"/>
    </row>
    <row r="398" spans="9:43" x14ac:dyDescent="0.3">
      <c r="I398" s="70">
        <f t="shared" ca="1" si="8"/>
        <v>125</v>
      </c>
      <c r="J398" s="46"/>
      <c r="K398" s="46"/>
      <c r="L398" s="46"/>
      <c r="M398" s="46"/>
      <c r="N398" s="46"/>
      <c r="O398" s="46"/>
      <c r="P398" s="46"/>
      <c r="Q398" s="46"/>
      <c r="R398" s="46"/>
      <c r="S398" s="46"/>
      <c r="T398" s="46"/>
      <c r="W398" s="46"/>
      <c r="X398" s="46"/>
      <c r="Y398" s="46"/>
      <c r="Z398" s="46"/>
      <c r="AB398" s="46"/>
      <c r="AC398" s="46"/>
      <c r="AD398" s="46"/>
      <c r="AE398" s="46"/>
      <c r="AF398" s="46"/>
      <c r="AG398" s="46"/>
      <c r="AH398" s="46"/>
      <c r="AI398" s="46"/>
      <c r="AJ398" s="46"/>
      <c r="AK398" s="46"/>
      <c r="AL398" s="46"/>
      <c r="AM398" s="46"/>
      <c r="AN398" s="46"/>
      <c r="AO398" s="46"/>
      <c r="AP398" s="46"/>
      <c r="AQ398" s="41"/>
    </row>
    <row r="399" spans="9:43" x14ac:dyDescent="0.3">
      <c r="I399" s="70">
        <f t="shared" ca="1" si="8"/>
        <v>125</v>
      </c>
      <c r="J399" s="46"/>
      <c r="K399" s="46"/>
      <c r="L399" s="46"/>
      <c r="M399" s="46"/>
      <c r="N399" s="46"/>
      <c r="O399" s="46"/>
      <c r="P399" s="46"/>
      <c r="Q399" s="46"/>
      <c r="R399" s="46"/>
      <c r="S399" s="46"/>
      <c r="T399" s="46"/>
      <c r="W399" s="46"/>
      <c r="X399" s="46"/>
      <c r="Y399" s="46"/>
      <c r="Z399" s="46"/>
      <c r="AB399" s="46"/>
      <c r="AC399" s="46"/>
      <c r="AD399" s="46"/>
      <c r="AE399" s="46"/>
      <c r="AF399" s="46"/>
      <c r="AG399" s="46"/>
      <c r="AH399" s="46"/>
      <c r="AI399" s="46"/>
      <c r="AJ399" s="46"/>
      <c r="AK399" s="46"/>
      <c r="AL399" s="46"/>
      <c r="AM399" s="46"/>
      <c r="AN399" s="46"/>
      <c r="AO399" s="46"/>
      <c r="AP399" s="46"/>
      <c r="AQ399" s="41"/>
    </row>
    <row r="400" spans="9:43" x14ac:dyDescent="0.3">
      <c r="I400" s="70">
        <f t="shared" ca="1" si="8"/>
        <v>125</v>
      </c>
      <c r="J400" s="46"/>
      <c r="K400" s="46"/>
      <c r="L400" s="46"/>
      <c r="M400" s="46"/>
      <c r="N400" s="46"/>
      <c r="O400" s="46"/>
      <c r="P400" s="46"/>
      <c r="Q400" s="46"/>
      <c r="R400" s="46"/>
      <c r="S400" s="46"/>
      <c r="T400" s="46"/>
      <c r="W400" s="46"/>
      <c r="X400" s="46"/>
      <c r="Y400" s="46"/>
      <c r="Z400" s="46"/>
      <c r="AB400" s="46"/>
      <c r="AC400" s="46"/>
      <c r="AD400" s="46"/>
      <c r="AE400" s="46"/>
      <c r="AF400" s="46"/>
      <c r="AG400" s="46"/>
      <c r="AH400" s="46"/>
      <c r="AI400" s="46"/>
      <c r="AJ400" s="46"/>
      <c r="AK400" s="46"/>
      <c r="AL400" s="46"/>
      <c r="AM400" s="46"/>
      <c r="AN400" s="46"/>
      <c r="AO400" s="46"/>
      <c r="AP400" s="46"/>
      <c r="AQ400" s="41"/>
    </row>
    <row r="401" spans="9:43" x14ac:dyDescent="0.3">
      <c r="I401" s="70">
        <f t="shared" ca="1" si="8"/>
        <v>125</v>
      </c>
      <c r="J401" s="46"/>
      <c r="K401" s="46"/>
      <c r="L401" s="46"/>
      <c r="M401" s="46"/>
      <c r="N401" s="46"/>
      <c r="O401" s="46"/>
      <c r="P401" s="46"/>
      <c r="Q401" s="46"/>
      <c r="R401" s="46"/>
      <c r="S401" s="46"/>
      <c r="T401" s="46"/>
      <c r="W401" s="46"/>
      <c r="X401" s="46"/>
      <c r="Y401" s="46"/>
      <c r="Z401" s="46"/>
      <c r="AB401" s="46"/>
      <c r="AC401" s="46"/>
      <c r="AD401" s="46"/>
      <c r="AE401" s="46"/>
      <c r="AF401" s="46"/>
      <c r="AG401" s="46"/>
      <c r="AH401" s="46"/>
      <c r="AI401" s="46"/>
      <c r="AJ401" s="46"/>
      <c r="AK401" s="46"/>
      <c r="AL401" s="46"/>
      <c r="AM401" s="46"/>
      <c r="AN401" s="46"/>
      <c r="AO401" s="46"/>
      <c r="AP401" s="46"/>
      <c r="AQ401" s="41"/>
    </row>
    <row r="402" spans="9:43" x14ac:dyDescent="0.3">
      <c r="I402" s="70">
        <f t="shared" ref="I402:I465" ca="1" si="9">INT((TODAY()-H402)/365.25)</f>
        <v>125</v>
      </c>
      <c r="J402" s="46"/>
      <c r="K402" s="46"/>
      <c r="L402" s="46"/>
      <c r="M402" s="46"/>
      <c r="N402" s="46"/>
      <c r="O402" s="46"/>
      <c r="P402" s="46"/>
      <c r="Q402" s="46"/>
      <c r="R402" s="46"/>
      <c r="S402" s="46"/>
      <c r="T402" s="46"/>
      <c r="W402" s="46"/>
      <c r="X402" s="46"/>
      <c r="Y402" s="46"/>
      <c r="Z402" s="46"/>
      <c r="AB402" s="46"/>
      <c r="AC402" s="46"/>
      <c r="AD402" s="46"/>
      <c r="AE402" s="46"/>
      <c r="AF402" s="46"/>
      <c r="AG402" s="46"/>
      <c r="AH402" s="46"/>
      <c r="AI402" s="46"/>
      <c r="AJ402" s="46"/>
      <c r="AK402" s="46"/>
      <c r="AL402" s="46"/>
      <c r="AM402" s="46"/>
      <c r="AN402" s="46"/>
      <c r="AO402" s="46"/>
      <c r="AP402" s="46"/>
      <c r="AQ402" s="41"/>
    </row>
    <row r="403" spans="9:43" x14ac:dyDescent="0.3">
      <c r="I403" s="70">
        <f t="shared" ca="1" si="9"/>
        <v>125</v>
      </c>
      <c r="J403" s="46"/>
      <c r="K403" s="46"/>
      <c r="L403" s="46"/>
      <c r="M403" s="46"/>
      <c r="N403" s="46"/>
      <c r="O403" s="46"/>
      <c r="P403" s="46"/>
      <c r="Q403" s="46"/>
      <c r="R403" s="46"/>
      <c r="S403" s="46"/>
      <c r="T403" s="46"/>
      <c r="W403" s="46"/>
      <c r="X403" s="46"/>
      <c r="Y403" s="46"/>
      <c r="Z403" s="46"/>
      <c r="AB403" s="46"/>
      <c r="AC403" s="46"/>
      <c r="AD403" s="46"/>
      <c r="AE403" s="46"/>
      <c r="AF403" s="46"/>
      <c r="AG403" s="46"/>
      <c r="AH403" s="46"/>
      <c r="AI403" s="46"/>
      <c r="AJ403" s="46"/>
      <c r="AK403" s="46"/>
      <c r="AL403" s="46"/>
      <c r="AM403" s="46"/>
      <c r="AN403" s="46"/>
      <c r="AO403" s="46"/>
      <c r="AP403" s="46"/>
      <c r="AQ403" s="41"/>
    </row>
    <row r="404" spans="9:43" x14ac:dyDescent="0.3">
      <c r="I404" s="70">
        <f t="shared" ca="1" si="9"/>
        <v>125</v>
      </c>
      <c r="J404" s="46"/>
      <c r="K404" s="46"/>
      <c r="L404" s="46"/>
      <c r="M404" s="46"/>
      <c r="N404" s="46"/>
      <c r="O404" s="46"/>
      <c r="P404" s="46"/>
      <c r="Q404" s="46"/>
      <c r="R404" s="46"/>
      <c r="S404" s="46"/>
      <c r="T404" s="46"/>
      <c r="W404" s="46"/>
      <c r="X404" s="46"/>
      <c r="Y404" s="46"/>
      <c r="Z404" s="46"/>
      <c r="AB404" s="46"/>
      <c r="AC404" s="46"/>
      <c r="AD404" s="46"/>
      <c r="AE404" s="46"/>
      <c r="AF404" s="46"/>
      <c r="AG404" s="46"/>
      <c r="AH404" s="46"/>
      <c r="AI404" s="46"/>
      <c r="AJ404" s="46"/>
      <c r="AK404" s="46"/>
      <c r="AL404" s="46"/>
      <c r="AM404" s="46"/>
      <c r="AN404" s="46"/>
      <c r="AO404" s="46"/>
      <c r="AP404" s="46"/>
      <c r="AQ404" s="41"/>
    </row>
    <row r="405" spans="9:43" x14ac:dyDescent="0.3">
      <c r="I405" s="70">
        <f t="shared" ca="1" si="9"/>
        <v>125</v>
      </c>
      <c r="J405" s="46"/>
      <c r="K405" s="46"/>
      <c r="L405" s="46"/>
      <c r="M405" s="46"/>
      <c r="N405" s="46"/>
      <c r="O405" s="46"/>
      <c r="P405" s="46"/>
      <c r="Q405" s="46"/>
      <c r="R405" s="46"/>
      <c r="S405" s="46"/>
      <c r="T405" s="46"/>
      <c r="W405" s="46"/>
      <c r="X405" s="46"/>
      <c r="Y405" s="46"/>
      <c r="Z405" s="46"/>
      <c r="AB405" s="46"/>
      <c r="AC405" s="46"/>
      <c r="AD405" s="46"/>
      <c r="AE405" s="46"/>
      <c r="AF405" s="46"/>
      <c r="AG405" s="46"/>
      <c r="AH405" s="46"/>
      <c r="AI405" s="46"/>
      <c r="AJ405" s="46"/>
      <c r="AK405" s="46"/>
      <c r="AL405" s="46"/>
      <c r="AM405" s="46"/>
      <c r="AN405" s="46"/>
      <c r="AO405" s="46"/>
      <c r="AP405" s="46"/>
      <c r="AQ405" s="41"/>
    </row>
    <row r="406" spans="9:43" x14ac:dyDescent="0.3">
      <c r="I406" s="70">
        <f t="shared" ca="1" si="9"/>
        <v>125</v>
      </c>
      <c r="J406" s="46"/>
      <c r="K406" s="46"/>
      <c r="L406" s="46"/>
      <c r="M406" s="46"/>
      <c r="N406" s="46"/>
      <c r="O406" s="46"/>
      <c r="P406" s="46"/>
      <c r="Q406" s="46"/>
      <c r="R406" s="46"/>
      <c r="S406" s="46"/>
      <c r="T406" s="46"/>
      <c r="W406" s="46"/>
      <c r="X406" s="46"/>
      <c r="Y406" s="46"/>
      <c r="Z406" s="46"/>
      <c r="AB406" s="46"/>
      <c r="AC406" s="46"/>
      <c r="AD406" s="46"/>
      <c r="AE406" s="46"/>
      <c r="AF406" s="46"/>
      <c r="AG406" s="46"/>
      <c r="AH406" s="46"/>
      <c r="AI406" s="46"/>
      <c r="AJ406" s="46"/>
      <c r="AK406" s="46"/>
      <c r="AL406" s="46"/>
      <c r="AM406" s="46"/>
      <c r="AN406" s="46"/>
      <c r="AO406" s="46"/>
      <c r="AP406" s="46"/>
      <c r="AQ406" s="41"/>
    </row>
    <row r="407" spans="9:43" x14ac:dyDescent="0.3">
      <c r="I407" s="70">
        <f t="shared" ca="1" si="9"/>
        <v>125</v>
      </c>
      <c r="J407" s="46"/>
      <c r="K407" s="46"/>
      <c r="L407" s="46"/>
      <c r="M407" s="46"/>
      <c r="N407" s="46"/>
      <c r="O407" s="46"/>
      <c r="P407" s="46"/>
      <c r="Q407" s="46"/>
      <c r="R407" s="46"/>
      <c r="S407" s="46"/>
      <c r="T407" s="46"/>
      <c r="W407" s="46"/>
      <c r="X407" s="46"/>
      <c r="Y407" s="46"/>
      <c r="Z407" s="46"/>
      <c r="AB407" s="46"/>
      <c r="AC407" s="46"/>
      <c r="AD407" s="46"/>
      <c r="AE407" s="46"/>
      <c r="AF407" s="46"/>
      <c r="AG407" s="46"/>
      <c r="AH407" s="46"/>
      <c r="AI407" s="46"/>
      <c r="AJ407" s="46"/>
      <c r="AK407" s="46"/>
      <c r="AL407" s="46"/>
      <c r="AM407" s="46"/>
      <c r="AN407" s="46"/>
      <c r="AO407" s="46"/>
      <c r="AP407" s="46"/>
      <c r="AQ407" s="41"/>
    </row>
    <row r="408" spans="9:43" x14ac:dyDescent="0.3">
      <c r="I408" s="70">
        <f t="shared" ca="1" si="9"/>
        <v>125</v>
      </c>
      <c r="J408" s="46"/>
      <c r="K408" s="46"/>
      <c r="L408" s="46"/>
      <c r="M408" s="46"/>
      <c r="N408" s="46"/>
      <c r="O408" s="46"/>
      <c r="P408" s="46"/>
      <c r="Q408" s="46"/>
      <c r="R408" s="46"/>
      <c r="S408" s="46"/>
      <c r="T408" s="46"/>
      <c r="W408" s="46"/>
      <c r="X408" s="46"/>
      <c r="Y408" s="46"/>
      <c r="Z408" s="46"/>
      <c r="AB408" s="46"/>
      <c r="AC408" s="46"/>
      <c r="AD408" s="46"/>
      <c r="AE408" s="46"/>
      <c r="AF408" s="46"/>
      <c r="AG408" s="46"/>
      <c r="AH408" s="46"/>
      <c r="AI408" s="46"/>
      <c r="AJ408" s="46"/>
      <c r="AK408" s="46"/>
      <c r="AL408" s="46"/>
      <c r="AM408" s="46"/>
      <c r="AN408" s="46"/>
      <c r="AO408" s="46"/>
      <c r="AP408" s="46"/>
      <c r="AQ408" s="41"/>
    </row>
    <row r="409" spans="9:43" x14ac:dyDescent="0.3">
      <c r="I409" s="70">
        <f t="shared" ca="1" si="9"/>
        <v>125</v>
      </c>
      <c r="J409" s="46"/>
      <c r="K409" s="46"/>
      <c r="L409" s="46"/>
      <c r="M409" s="46"/>
      <c r="N409" s="46"/>
      <c r="O409" s="46"/>
      <c r="P409" s="46"/>
      <c r="Q409" s="46"/>
      <c r="R409" s="46"/>
      <c r="S409" s="46"/>
      <c r="T409" s="46"/>
      <c r="W409" s="46"/>
      <c r="X409" s="46"/>
      <c r="Y409" s="46"/>
      <c r="Z409" s="46"/>
      <c r="AB409" s="46"/>
      <c r="AC409" s="46"/>
      <c r="AD409" s="46"/>
      <c r="AE409" s="46"/>
      <c r="AF409" s="46"/>
      <c r="AG409" s="46"/>
      <c r="AH409" s="46"/>
      <c r="AI409" s="46"/>
      <c r="AJ409" s="46"/>
      <c r="AK409" s="46"/>
      <c r="AL409" s="46"/>
      <c r="AM409" s="46"/>
      <c r="AN409" s="46"/>
      <c r="AO409" s="46"/>
      <c r="AP409" s="46"/>
      <c r="AQ409" s="41"/>
    </row>
    <row r="410" spans="9:43" x14ac:dyDescent="0.3">
      <c r="I410" s="70">
        <f t="shared" ca="1" si="9"/>
        <v>125</v>
      </c>
      <c r="J410" s="46"/>
      <c r="K410" s="46"/>
      <c r="L410" s="46"/>
      <c r="M410" s="46"/>
      <c r="N410" s="46"/>
      <c r="O410" s="46"/>
      <c r="P410" s="46"/>
      <c r="Q410" s="46"/>
      <c r="R410" s="46"/>
      <c r="S410" s="46"/>
      <c r="T410" s="46"/>
      <c r="W410" s="46"/>
      <c r="X410" s="46"/>
      <c r="Y410" s="46"/>
      <c r="Z410" s="46"/>
      <c r="AB410" s="46"/>
      <c r="AC410" s="46"/>
      <c r="AD410" s="46"/>
      <c r="AE410" s="46"/>
      <c r="AF410" s="46"/>
      <c r="AG410" s="46"/>
      <c r="AH410" s="46"/>
      <c r="AI410" s="46"/>
      <c r="AJ410" s="46"/>
      <c r="AK410" s="46"/>
      <c r="AL410" s="46"/>
      <c r="AM410" s="46"/>
      <c r="AN410" s="46"/>
      <c r="AO410" s="46"/>
      <c r="AP410" s="46"/>
      <c r="AQ410" s="41"/>
    </row>
    <row r="411" spans="9:43" x14ac:dyDescent="0.3">
      <c r="I411" s="70">
        <f t="shared" ca="1" si="9"/>
        <v>125</v>
      </c>
      <c r="J411" s="46"/>
      <c r="K411" s="46"/>
      <c r="L411" s="46"/>
      <c r="M411" s="46"/>
      <c r="N411" s="46"/>
      <c r="O411" s="46"/>
      <c r="P411" s="46"/>
      <c r="Q411" s="46"/>
      <c r="R411" s="46"/>
      <c r="S411" s="46"/>
      <c r="T411" s="46"/>
      <c r="W411" s="46"/>
      <c r="X411" s="46"/>
      <c r="Y411" s="46"/>
      <c r="Z411" s="46"/>
      <c r="AB411" s="46"/>
      <c r="AC411" s="46"/>
      <c r="AD411" s="46"/>
      <c r="AE411" s="46"/>
      <c r="AF411" s="46"/>
      <c r="AG411" s="46"/>
      <c r="AH411" s="46"/>
      <c r="AI411" s="46"/>
      <c r="AJ411" s="46"/>
      <c r="AK411" s="46"/>
      <c r="AL411" s="46"/>
      <c r="AM411" s="46"/>
      <c r="AN411" s="46"/>
      <c r="AO411" s="46"/>
      <c r="AP411" s="46"/>
      <c r="AQ411" s="41"/>
    </row>
    <row r="412" spans="9:43" x14ac:dyDescent="0.3">
      <c r="I412" s="70">
        <f t="shared" ca="1" si="9"/>
        <v>125</v>
      </c>
      <c r="J412" s="46"/>
      <c r="K412" s="46"/>
      <c r="L412" s="46"/>
      <c r="M412" s="46"/>
      <c r="N412" s="46"/>
      <c r="O412" s="46"/>
      <c r="P412" s="46"/>
      <c r="Q412" s="46"/>
      <c r="R412" s="46"/>
      <c r="S412" s="46"/>
      <c r="T412" s="46"/>
      <c r="W412" s="46"/>
      <c r="X412" s="46"/>
      <c r="Y412" s="46"/>
      <c r="Z412" s="46"/>
      <c r="AB412" s="46"/>
      <c r="AC412" s="46"/>
      <c r="AD412" s="46"/>
      <c r="AE412" s="46"/>
      <c r="AF412" s="46"/>
      <c r="AG412" s="46"/>
      <c r="AH412" s="46"/>
      <c r="AI412" s="46"/>
      <c r="AJ412" s="46"/>
      <c r="AK412" s="46"/>
      <c r="AL412" s="46"/>
      <c r="AM412" s="46"/>
      <c r="AN412" s="46"/>
      <c r="AO412" s="46"/>
      <c r="AP412" s="46"/>
      <c r="AQ412" s="41"/>
    </row>
    <row r="413" spans="9:43" x14ac:dyDescent="0.3">
      <c r="I413" s="70">
        <f t="shared" ca="1" si="9"/>
        <v>125</v>
      </c>
      <c r="J413" s="46"/>
      <c r="K413" s="46"/>
      <c r="L413" s="46"/>
      <c r="M413" s="46"/>
      <c r="N413" s="46"/>
      <c r="O413" s="46"/>
      <c r="P413" s="46"/>
      <c r="Q413" s="46"/>
      <c r="R413" s="46"/>
      <c r="S413" s="46"/>
      <c r="T413" s="46"/>
      <c r="W413" s="46"/>
      <c r="X413" s="46"/>
      <c r="Y413" s="46"/>
      <c r="Z413" s="46"/>
      <c r="AB413" s="46"/>
      <c r="AC413" s="46"/>
      <c r="AD413" s="46"/>
      <c r="AE413" s="46"/>
      <c r="AF413" s="46"/>
      <c r="AG413" s="46"/>
      <c r="AH413" s="46"/>
      <c r="AI413" s="46"/>
      <c r="AJ413" s="46"/>
      <c r="AK413" s="46"/>
      <c r="AL413" s="46"/>
      <c r="AM413" s="46"/>
      <c r="AN413" s="46"/>
      <c r="AO413" s="46"/>
      <c r="AP413" s="46"/>
      <c r="AQ413" s="41"/>
    </row>
    <row r="414" spans="9:43" x14ac:dyDescent="0.3">
      <c r="I414" s="70">
        <f t="shared" ca="1" si="9"/>
        <v>125</v>
      </c>
      <c r="J414" s="46"/>
      <c r="K414" s="46"/>
      <c r="L414" s="46"/>
      <c r="M414" s="46"/>
      <c r="N414" s="46"/>
      <c r="O414" s="46"/>
      <c r="P414" s="46"/>
      <c r="Q414" s="46"/>
      <c r="R414" s="46"/>
      <c r="S414" s="46"/>
      <c r="T414" s="46"/>
      <c r="W414" s="46"/>
      <c r="X414" s="46"/>
      <c r="Y414" s="46"/>
      <c r="Z414" s="46"/>
      <c r="AB414" s="46"/>
      <c r="AC414" s="46"/>
      <c r="AD414" s="46"/>
      <c r="AE414" s="46"/>
      <c r="AF414" s="46"/>
      <c r="AG414" s="46"/>
      <c r="AH414" s="46"/>
      <c r="AI414" s="46"/>
      <c r="AJ414" s="46"/>
      <c r="AK414" s="46"/>
      <c r="AL414" s="46"/>
      <c r="AM414" s="46"/>
      <c r="AN414" s="46"/>
      <c r="AO414" s="46"/>
      <c r="AP414" s="46"/>
      <c r="AQ414" s="41"/>
    </row>
    <row r="415" spans="9:43" x14ac:dyDescent="0.3">
      <c r="I415" s="70">
        <f t="shared" ca="1" si="9"/>
        <v>125</v>
      </c>
      <c r="J415" s="46"/>
      <c r="K415" s="46"/>
      <c r="L415" s="46"/>
      <c r="M415" s="46"/>
      <c r="N415" s="46"/>
      <c r="O415" s="46"/>
      <c r="P415" s="46"/>
      <c r="Q415" s="46"/>
      <c r="R415" s="46"/>
      <c r="S415" s="46"/>
      <c r="T415" s="46"/>
      <c r="W415" s="46"/>
      <c r="X415" s="46"/>
      <c r="Y415" s="46"/>
      <c r="Z415" s="46"/>
      <c r="AB415" s="46"/>
      <c r="AC415" s="46"/>
      <c r="AD415" s="46"/>
      <c r="AE415" s="46"/>
      <c r="AF415" s="46"/>
      <c r="AG415" s="46"/>
      <c r="AH415" s="46"/>
      <c r="AI415" s="46"/>
      <c r="AJ415" s="46"/>
      <c r="AK415" s="46"/>
      <c r="AL415" s="46"/>
      <c r="AM415" s="46"/>
      <c r="AN415" s="46"/>
      <c r="AO415" s="46"/>
      <c r="AP415" s="46"/>
      <c r="AQ415" s="41"/>
    </row>
    <row r="416" spans="9:43" x14ac:dyDescent="0.3">
      <c r="I416" s="70">
        <f t="shared" ca="1" si="9"/>
        <v>125</v>
      </c>
      <c r="J416" s="46"/>
      <c r="K416" s="46"/>
      <c r="L416" s="46"/>
      <c r="M416" s="46"/>
      <c r="N416" s="46"/>
      <c r="O416" s="46"/>
      <c r="P416" s="46"/>
      <c r="Q416" s="46"/>
      <c r="R416" s="46"/>
      <c r="S416" s="46"/>
      <c r="T416" s="46"/>
      <c r="W416" s="46"/>
      <c r="X416" s="46"/>
      <c r="Y416" s="46"/>
      <c r="Z416" s="46"/>
      <c r="AB416" s="46"/>
      <c r="AC416" s="46"/>
      <c r="AD416" s="46"/>
      <c r="AE416" s="46"/>
      <c r="AF416" s="46"/>
      <c r="AG416" s="46"/>
      <c r="AH416" s="46"/>
      <c r="AI416" s="46"/>
      <c r="AJ416" s="46"/>
      <c r="AK416" s="46"/>
      <c r="AL416" s="46"/>
      <c r="AM416" s="46"/>
      <c r="AN416" s="46"/>
      <c r="AO416" s="46"/>
      <c r="AP416" s="46"/>
      <c r="AQ416" s="41"/>
    </row>
    <row r="417" spans="9:43" x14ac:dyDescent="0.3">
      <c r="I417" s="70">
        <f t="shared" ca="1" si="9"/>
        <v>125</v>
      </c>
      <c r="J417" s="46"/>
      <c r="K417" s="46"/>
      <c r="L417" s="46"/>
      <c r="M417" s="46"/>
      <c r="N417" s="46"/>
      <c r="O417" s="46"/>
      <c r="P417" s="46"/>
      <c r="Q417" s="46"/>
      <c r="R417" s="46"/>
      <c r="S417" s="46"/>
      <c r="T417" s="46"/>
      <c r="W417" s="46"/>
      <c r="X417" s="46"/>
      <c r="Y417" s="46"/>
      <c r="Z417" s="46"/>
      <c r="AB417" s="46"/>
      <c r="AC417" s="46"/>
      <c r="AD417" s="46"/>
      <c r="AE417" s="46"/>
      <c r="AF417" s="46"/>
      <c r="AG417" s="46"/>
      <c r="AH417" s="46"/>
      <c r="AI417" s="46"/>
      <c r="AJ417" s="46"/>
      <c r="AK417" s="46"/>
      <c r="AL417" s="46"/>
      <c r="AM417" s="46"/>
      <c r="AN417" s="46"/>
      <c r="AO417" s="46"/>
      <c r="AP417" s="46"/>
      <c r="AQ417" s="41"/>
    </row>
    <row r="418" spans="9:43" x14ac:dyDescent="0.3">
      <c r="I418" s="70">
        <f t="shared" ca="1" si="9"/>
        <v>125</v>
      </c>
      <c r="J418" s="46"/>
      <c r="K418" s="46"/>
      <c r="L418" s="46"/>
      <c r="M418" s="46"/>
      <c r="N418" s="46"/>
      <c r="O418" s="46"/>
      <c r="P418" s="46"/>
      <c r="Q418" s="46"/>
      <c r="R418" s="46"/>
      <c r="S418" s="46"/>
      <c r="T418" s="46"/>
      <c r="W418" s="46"/>
      <c r="X418" s="46"/>
      <c r="Y418" s="46"/>
      <c r="Z418" s="46"/>
      <c r="AB418" s="46"/>
      <c r="AC418" s="46"/>
      <c r="AD418" s="46"/>
      <c r="AE418" s="46"/>
      <c r="AF418" s="46"/>
      <c r="AG418" s="46"/>
      <c r="AH418" s="46"/>
      <c r="AI418" s="46"/>
      <c r="AJ418" s="46"/>
      <c r="AK418" s="46"/>
      <c r="AL418" s="46"/>
      <c r="AM418" s="46"/>
      <c r="AN418" s="46"/>
      <c r="AO418" s="46"/>
      <c r="AP418" s="46"/>
      <c r="AQ418" s="41"/>
    </row>
    <row r="419" spans="9:43" x14ac:dyDescent="0.3">
      <c r="I419" s="70">
        <f t="shared" ca="1" si="9"/>
        <v>125</v>
      </c>
      <c r="J419" s="46"/>
      <c r="K419" s="46"/>
      <c r="L419" s="46"/>
      <c r="M419" s="46"/>
      <c r="N419" s="46"/>
      <c r="O419" s="46"/>
      <c r="P419" s="46"/>
      <c r="Q419" s="46"/>
      <c r="R419" s="46"/>
      <c r="S419" s="46"/>
      <c r="T419" s="46"/>
      <c r="W419" s="46"/>
      <c r="X419" s="46"/>
      <c r="Y419" s="46"/>
      <c r="Z419" s="46"/>
      <c r="AB419" s="46"/>
      <c r="AC419" s="46"/>
      <c r="AD419" s="46"/>
      <c r="AE419" s="46"/>
      <c r="AF419" s="46"/>
      <c r="AG419" s="46"/>
      <c r="AH419" s="46"/>
      <c r="AI419" s="46"/>
      <c r="AJ419" s="46"/>
      <c r="AK419" s="46"/>
      <c r="AL419" s="46"/>
      <c r="AM419" s="46"/>
      <c r="AN419" s="46"/>
      <c r="AO419" s="46"/>
      <c r="AP419" s="46"/>
      <c r="AQ419" s="41"/>
    </row>
    <row r="420" spans="9:43" x14ac:dyDescent="0.3">
      <c r="I420" s="70">
        <f t="shared" ca="1" si="9"/>
        <v>125</v>
      </c>
      <c r="J420" s="46"/>
      <c r="K420" s="46"/>
      <c r="L420" s="46"/>
      <c r="M420" s="46"/>
      <c r="N420" s="46"/>
      <c r="O420" s="46"/>
      <c r="P420" s="46"/>
      <c r="Q420" s="46"/>
      <c r="R420" s="46"/>
      <c r="S420" s="46"/>
      <c r="T420" s="46"/>
      <c r="W420" s="46"/>
      <c r="X420" s="46"/>
      <c r="Y420" s="46"/>
      <c r="Z420" s="46"/>
      <c r="AB420" s="46"/>
      <c r="AC420" s="46"/>
      <c r="AD420" s="46"/>
      <c r="AE420" s="46"/>
      <c r="AF420" s="46"/>
      <c r="AG420" s="46"/>
      <c r="AH420" s="46"/>
      <c r="AI420" s="46"/>
      <c r="AJ420" s="46"/>
      <c r="AK420" s="46"/>
      <c r="AL420" s="46"/>
      <c r="AM420" s="46"/>
      <c r="AN420" s="46"/>
      <c r="AO420" s="46"/>
      <c r="AP420" s="46"/>
      <c r="AQ420" s="41"/>
    </row>
    <row r="421" spans="9:43" x14ac:dyDescent="0.3">
      <c r="I421" s="70">
        <f t="shared" ca="1" si="9"/>
        <v>125</v>
      </c>
      <c r="J421" s="46"/>
      <c r="K421" s="46"/>
      <c r="L421" s="46"/>
      <c r="M421" s="46"/>
      <c r="N421" s="46"/>
      <c r="O421" s="46"/>
      <c r="P421" s="46"/>
      <c r="Q421" s="46"/>
      <c r="R421" s="46"/>
      <c r="S421" s="46"/>
      <c r="T421" s="46"/>
      <c r="W421" s="46"/>
      <c r="X421" s="46"/>
      <c r="Y421" s="46"/>
      <c r="Z421" s="46"/>
      <c r="AB421" s="46"/>
      <c r="AC421" s="46"/>
      <c r="AD421" s="46"/>
      <c r="AE421" s="46"/>
      <c r="AF421" s="46"/>
      <c r="AG421" s="46"/>
      <c r="AH421" s="46"/>
      <c r="AI421" s="46"/>
      <c r="AJ421" s="46"/>
      <c r="AK421" s="46"/>
      <c r="AL421" s="46"/>
      <c r="AM421" s="46"/>
      <c r="AN421" s="46"/>
      <c r="AO421" s="46"/>
      <c r="AP421" s="46"/>
      <c r="AQ421" s="41"/>
    </row>
    <row r="422" spans="9:43" x14ac:dyDescent="0.3">
      <c r="I422" s="70">
        <f t="shared" ca="1" si="9"/>
        <v>125</v>
      </c>
      <c r="J422" s="46"/>
      <c r="K422" s="46"/>
      <c r="L422" s="46"/>
      <c r="M422" s="46"/>
      <c r="N422" s="46"/>
      <c r="O422" s="46"/>
      <c r="P422" s="46"/>
      <c r="Q422" s="46"/>
      <c r="R422" s="46"/>
      <c r="S422" s="46"/>
      <c r="T422" s="46"/>
      <c r="W422" s="46"/>
      <c r="X422" s="46"/>
      <c r="Y422" s="46"/>
      <c r="Z422" s="46"/>
      <c r="AB422" s="46"/>
      <c r="AC422" s="46"/>
      <c r="AD422" s="46"/>
      <c r="AE422" s="46"/>
      <c r="AF422" s="46"/>
      <c r="AG422" s="46"/>
      <c r="AH422" s="46"/>
      <c r="AI422" s="46"/>
      <c r="AJ422" s="46"/>
      <c r="AK422" s="46"/>
      <c r="AL422" s="46"/>
      <c r="AM422" s="46"/>
      <c r="AN422" s="46"/>
      <c r="AO422" s="46"/>
      <c r="AP422" s="46"/>
      <c r="AQ422" s="41"/>
    </row>
    <row r="423" spans="9:43" x14ac:dyDescent="0.3">
      <c r="I423" s="70">
        <f t="shared" ca="1" si="9"/>
        <v>125</v>
      </c>
      <c r="J423" s="46"/>
      <c r="K423" s="46"/>
      <c r="L423" s="46"/>
      <c r="M423" s="46"/>
      <c r="N423" s="46"/>
      <c r="O423" s="46"/>
      <c r="P423" s="46"/>
      <c r="Q423" s="46"/>
      <c r="R423" s="46"/>
      <c r="S423" s="46"/>
      <c r="T423" s="46"/>
      <c r="W423" s="46"/>
      <c r="X423" s="46"/>
      <c r="Y423" s="46"/>
      <c r="Z423" s="46"/>
      <c r="AB423" s="46"/>
      <c r="AC423" s="46"/>
      <c r="AD423" s="46"/>
      <c r="AE423" s="46"/>
      <c r="AF423" s="46"/>
      <c r="AG423" s="46"/>
      <c r="AH423" s="46"/>
      <c r="AI423" s="46"/>
      <c r="AJ423" s="46"/>
      <c r="AK423" s="46"/>
      <c r="AL423" s="46"/>
      <c r="AM423" s="46"/>
      <c r="AN423" s="46"/>
      <c r="AO423" s="46"/>
      <c r="AP423" s="46"/>
      <c r="AQ423" s="41"/>
    </row>
    <row r="424" spans="9:43" x14ac:dyDescent="0.3">
      <c r="I424" s="70">
        <f t="shared" ca="1" si="9"/>
        <v>125</v>
      </c>
      <c r="J424" s="46"/>
      <c r="K424" s="46"/>
      <c r="L424" s="46"/>
      <c r="M424" s="46"/>
      <c r="N424" s="46"/>
      <c r="O424" s="46"/>
      <c r="P424" s="46"/>
      <c r="Q424" s="46"/>
      <c r="R424" s="46"/>
      <c r="S424" s="46"/>
      <c r="T424" s="46"/>
      <c r="W424" s="46"/>
      <c r="X424" s="46"/>
      <c r="Y424" s="46"/>
      <c r="Z424" s="46"/>
      <c r="AB424" s="46"/>
      <c r="AC424" s="46"/>
      <c r="AD424" s="46"/>
      <c r="AE424" s="46"/>
      <c r="AF424" s="46"/>
      <c r="AG424" s="46"/>
      <c r="AH424" s="46"/>
      <c r="AI424" s="46"/>
      <c r="AJ424" s="46"/>
      <c r="AK424" s="46"/>
      <c r="AL424" s="46"/>
      <c r="AM424" s="46"/>
      <c r="AN424" s="46"/>
      <c r="AO424" s="46"/>
      <c r="AP424" s="46"/>
      <c r="AQ424" s="41"/>
    </row>
    <row r="425" spans="9:43" x14ac:dyDescent="0.3">
      <c r="I425" s="70">
        <f t="shared" ca="1" si="9"/>
        <v>125</v>
      </c>
      <c r="J425" s="46"/>
      <c r="K425" s="46"/>
      <c r="L425" s="46"/>
      <c r="M425" s="46"/>
      <c r="N425" s="46"/>
      <c r="O425" s="46"/>
      <c r="P425" s="46"/>
      <c r="Q425" s="46"/>
      <c r="R425" s="46"/>
      <c r="S425" s="46"/>
      <c r="T425" s="46"/>
      <c r="W425" s="46"/>
      <c r="X425" s="46"/>
      <c r="Y425" s="46"/>
      <c r="Z425" s="46"/>
      <c r="AB425" s="46"/>
      <c r="AC425" s="46"/>
      <c r="AD425" s="46"/>
      <c r="AE425" s="46"/>
      <c r="AF425" s="46"/>
      <c r="AG425" s="46"/>
      <c r="AH425" s="46"/>
      <c r="AI425" s="46"/>
      <c r="AJ425" s="46"/>
      <c r="AK425" s="46"/>
      <c r="AL425" s="46"/>
      <c r="AM425" s="46"/>
      <c r="AN425" s="46"/>
      <c r="AO425" s="46"/>
      <c r="AP425" s="46"/>
      <c r="AQ425" s="41"/>
    </row>
    <row r="426" spans="9:43" x14ac:dyDescent="0.3">
      <c r="I426" s="70">
        <f t="shared" ca="1" si="9"/>
        <v>125</v>
      </c>
      <c r="J426" s="46"/>
      <c r="K426" s="46"/>
      <c r="L426" s="46"/>
      <c r="M426" s="46"/>
      <c r="N426" s="46"/>
      <c r="O426" s="46"/>
      <c r="P426" s="46"/>
      <c r="Q426" s="46"/>
      <c r="R426" s="46"/>
      <c r="S426" s="46"/>
      <c r="T426" s="46"/>
      <c r="W426" s="46"/>
      <c r="X426" s="46"/>
      <c r="Y426" s="46"/>
      <c r="Z426" s="46"/>
      <c r="AB426" s="46"/>
      <c r="AC426" s="46"/>
      <c r="AD426" s="46"/>
      <c r="AE426" s="46"/>
      <c r="AF426" s="46"/>
      <c r="AG426" s="46"/>
      <c r="AH426" s="46"/>
      <c r="AI426" s="46"/>
      <c r="AJ426" s="46"/>
      <c r="AK426" s="46"/>
      <c r="AL426" s="46"/>
      <c r="AM426" s="46"/>
      <c r="AN426" s="46"/>
      <c r="AO426" s="46"/>
      <c r="AP426" s="46"/>
      <c r="AQ426" s="41"/>
    </row>
    <row r="427" spans="9:43" x14ac:dyDescent="0.3">
      <c r="I427" s="70">
        <f t="shared" ca="1" si="9"/>
        <v>125</v>
      </c>
      <c r="J427" s="46"/>
      <c r="K427" s="46"/>
      <c r="L427" s="46"/>
      <c r="M427" s="46"/>
      <c r="N427" s="46"/>
      <c r="O427" s="46"/>
      <c r="P427" s="46"/>
      <c r="Q427" s="46"/>
      <c r="R427" s="46"/>
      <c r="S427" s="46"/>
      <c r="T427" s="46"/>
      <c r="W427" s="46"/>
      <c r="X427" s="46"/>
      <c r="Y427" s="46"/>
      <c r="Z427" s="46"/>
      <c r="AB427" s="46"/>
      <c r="AC427" s="46"/>
      <c r="AD427" s="46"/>
      <c r="AE427" s="46"/>
      <c r="AF427" s="46"/>
      <c r="AG427" s="46"/>
      <c r="AH427" s="46"/>
      <c r="AI427" s="46"/>
      <c r="AJ427" s="46"/>
      <c r="AK427" s="46"/>
      <c r="AL427" s="46"/>
      <c r="AM427" s="46"/>
      <c r="AN427" s="46"/>
      <c r="AO427" s="46"/>
      <c r="AP427" s="46"/>
      <c r="AQ427" s="41"/>
    </row>
    <row r="428" spans="9:43" x14ac:dyDescent="0.3">
      <c r="I428" s="70">
        <f t="shared" ca="1" si="9"/>
        <v>125</v>
      </c>
      <c r="J428" s="46"/>
      <c r="K428" s="46"/>
      <c r="L428" s="46"/>
      <c r="M428" s="46"/>
      <c r="N428" s="46"/>
      <c r="O428" s="46"/>
      <c r="P428" s="46"/>
      <c r="Q428" s="46"/>
      <c r="R428" s="46"/>
      <c r="S428" s="46"/>
      <c r="T428" s="46"/>
      <c r="W428" s="46"/>
      <c r="X428" s="46"/>
      <c r="Y428" s="46"/>
      <c r="Z428" s="46"/>
      <c r="AB428" s="46"/>
      <c r="AC428" s="46"/>
      <c r="AD428" s="46"/>
      <c r="AE428" s="46"/>
      <c r="AF428" s="46"/>
      <c r="AG428" s="46"/>
      <c r="AH428" s="46"/>
      <c r="AI428" s="46"/>
      <c r="AJ428" s="46"/>
      <c r="AK428" s="46"/>
      <c r="AL428" s="46"/>
      <c r="AM428" s="46"/>
      <c r="AN428" s="46"/>
      <c r="AO428" s="46"/>
      <c r="AP428" s="46"/>
      <c r="AQ428" s="41"/>
    </row>
    <row r="429" spans="9:43" x14ac:dyDescent="0.3">
      <c r="I429" s="70">
        <f t="shared" ca="1" si="9"/>
        <v>125</v>
      </c>
      <c r="J429" s="46"/>
      <c r="K429" s="46"/>
      <c r="L429" s="46"/>
      <c r="M429" s="46"/>
      <c r="N429" s="46"/>
      <c r="O429" s="46"/>
      <c r="P429" s="46"/>
      <c r="Q429" s="46"/>
      <c r="R429" s="46"/>
      <c r="S429" s="46"/>
      <c r="T429" s="46"/>
      <c r="W429" s="46"/>
      <c r="X429" s="46"/>
      <c r="Y429" s="46"/>
      <c r="Z429" s="46"/>
      <c r="AB429" s="46"/>
      <c r="AC429" s="46"/>
      <c r="AD429" s="46"/>
      <c r="AE429" s="46"/>
      <c r="AF429" s="46"/>
      <c r="AG429" s="46"/>
      <c r="AH429" s="46"/>
      <c r="AI429" s="46"/>
      <c r="AJ429" s="46"/>
      <c r="AK429" s="46"/>
      <c r="AL429" s="46"/>
      <c r="AM429" s="46"/>
      <c r="AN429" s="46"/>
      <c r="AO429" s="46"/>
      <c r="AP429" s="46"/>
      <c r="AQ429" s="41"/>
    </row>
    <row r="430" spans="9:43" x14ac:dyDescent="0.3">
      <c r="I430" s="70">
        <f t="shared" ca="1" si="9"/>
        <v>125</v>
      </c>
      <c r="J430" s="46"/>
      <c r="K430" s="46"/>
      <c r="L430" s="46"/>
      <c r="M430" s="46"/>
      <c r="N430" s="46"/>
      <c r="O430" s="46"/>
      <c r="P430" s="46"/>
      <c r="Q430" s="46"/>
      <c r="R430" s="46"/>
      <c r="S430" s="46"/>
      <c r="T430" s="46"/>
      <c r="W430" s="46"/>
      <c r="X430" s="46"/>
      <c r="Y430" s="46"/>
      <c r="Z430" s="46"/>
      <c r="AB430" s="46"/>
      <c r="AC430" s="46"/>
      <c r="AD430" s="46"/>
      <c r="AE430" s="46"/>
      <c r="AF430" s="46"/>
      <c r="AG430" s="46"/>
      <c r="AH430" s="46"/>
      <c r="AI430" s="46"/>
      <c r="AJ430" s="46"/>
      <c r="AK430" s="46"/>
      <c r="AL430" s="46"/>
      <c r="AM430" s="46"/>
      <c r="AN430" s="46"/>
      <c r="AO430" s="46"/>
      <c r="AP430" s="46"/>
      <c r="AQ430" s="41"/>
    </row>
    <row r="431" spans="9:43" x14ac:dyDescent="0.3">
      <c r="I431" s="70">
        <f t="shared" ca="1" si="9"/>
        <v>125</v>
      </c>
      <c r="J431" s="46"/>
      <c r="K431" s="46"/>
      <c r="L431" s="46"/>
      <c r="M431" s="46"/>
      <c r="N431" s="46"/>
      <c r="O431" s="46"/>
      <c r="P431" s="46"/>
      <c r="Q431" s="46"/>
      <c r="R431" s="46"/>
      <c r="S431" s="46"/>
      <c r="T431" s="46"/>
      <c r="W431" s="46"/>
      <c r="X431" s="46"/>
      <c r="Y431" s="46"/>
      <c r="Z431" s="46"/>
      <c r="AB431" s="46"/>
      <c r="AC431" s="46"/>
      <c r="AD431" s="46"/>
      <c r="AE431" s="46"/>
      <c r="AF431" s="46"/>
      <c r="AG431" s="46"/>
      <c r="AH431" s="46"/>
      <c r="AI431" s="46"/>
      <c r="AJ431" s="46"/>
      <c r="AK431" s="46"/>
      <c r="AL431" s="46"/>
      <c r="AM431" s="46"/>
      <c r="AN431" s="46"/>
      <c r="AO431" s="46"/>
      <c r="AP431" s="46"/>
      <c r="AQ431" s="41"/>
    </row>
    <row r="432" spans="9:43" x14ac:dyDescent="0.3">
      <c r="I432" s="70">
        <f t="shared" ca="1" si="9"/>
        <v>125</v>
      </c>
      <c r="J432" s="46"/>
      <c r="K432" s="46"/>
      <c r="L432" s="46"/>
      <c r="M432" s="46"/>
      <c r="N432" s="46"/>
      <c r="O432" s="46"/>
      <c r="P432" s="46"/>
      <c r="Q432" s="46"/>
      <c r="R432" s="46"/>
      <c r="S432" s="46"/>
      <c r="T432" s="46"/>
      <c r="W432" s="46"/>
      <c r="X432" s="46"/>
      <c r="Y432" s="46"/>
      <c r="Z432" s="46"/>
      <c r="AB432" s="46"/>
      <c r="AC432" s="46"/>
      <c r="AD432" s="46"/>
      <c r="AE432" s="46"/>
      <c r="AF432" s="46"/>
      <c r="AG432" s="46"/>
      <c r="AH432" s="46"/>
      <c r="AI432" s="46"/>
      <c r="AJ432" s="46"/>
      <c r="AK432" s="46"/>
      <c r="AL432" s="46"/>
      <c r="AM432" s="46"/>
      <c r="AN432" s="46"/>
      <c r="AO432" s="46"/>
      <c r="AP432" s="46"/>
      <c r="AQ432" s="41"/>
    </row>
    <row r="433" spans="9:43" x14ac:dyDescent="0.3">
      <c r="I433" s="70">
        <f t="shared" ca="1" si="9"/>
        <v>125</v>
      </c>
      <c r="J433" s="46"/>
      <c r="K433" s="46"/>
      <c r="L433" s="46"/>
      <c r="M433" s="46"/>
      <c r="N433" s="46"/>
      <c r="O433" s="46"/>
      <c r="P433" s="46"/>
      <c r="Q433" s="46"/>
      <c r="R433" s="46"/>
      <c r="S433" s="46"/>
      <c r="T433" s="46"/>
      <c r="W433" s="46"/>
      <c r="X433" s="46"/>
      <c r="Y433" s="46"/>
      <c r="Z433" s="46"/>
      <c r="AB433" s="46"/>
      <c r="AC433" s="46"/>
      <c r="AD433" s="46"/>
      <c r="AE433" s="46"/>
      <c r="AF433" s="46"/>
      <c r="AG433" s="46"/>
      <c r="AH433" s="46"/>
      <c r="AI433" s="46"/>
      <c r="AJ433" s="46"/>
      <c r="AK433" s="46"/>
      <c r="AL433" s="46"/>
      <c r="AM433" s="46"/>
      <c r="AN433" s="46"/>
      <c r="AO433" s="46"/>
      <c r="AP433" s="46"/>
      <c r="AQ433" s="41"/>
    </row>
    <row r="434" spans="9:43" x14ac:dyDescent="0.3">
      <c r="I434" s="70">
        <f t="shared" ca="1" si="9"/>
        <v>125</v>
      </c>
      <c r="J434" s="46"/>
      <c r="K434" s="46"/>
      <c r="L434" s="46"/>
      <c r="M434" s="46"/>
      <c r="N434" s="46"/>
      <c r="O434" s="46"/>
      <c r="P434" s="46"/>
      <c r="Q434" s="46"/>
      <c r="R434" s="46"/>
      <c r="S434" s="46"/>
      <c r="T434" s="46"/>
      <c r="W434" s="46"/>
      <c r="X434" s="46"/>
      <c r="Y434" s="46"/>
      <c r="Z434" s="46"/>
      <c r="AB434" s="46"/>
      <c r="AC434" s="46"/>
      <c r="AD434" s="46"/>
      <c r="AE434" s="46"/>
      <c r="AF434" s="46"/>
      <c r="AG434" s="46"/>
      <c r="AH434" s="46"/>
      <c r="AI434" s="46"/>
      <c r="AJ434" s="46"/>
      <c r="AK434" s="46"/>
      <c r="AL434" s="46"/>
      <c r="AM434" s="46"/>
      <c r="AN434" s="46"/>
      <c r="AO434" s="46"/>
      <c r="AP434" s="46"/>
      <c r="AQ434" s="41"/>
    </row>
    <row r="435" spans="9:43" x14ac:dyDescent="0.3">
      <c r="I435" s="70">
        <f t="shared" ca="1" si="9"/>
        <v>125</v>
      </c>
      <c r="J435" s="46"/>
      <c r="K435" s="46"/>
      <c r="L435" s="46"/>
      <c r="M435" s="46"/>
      <c r="N435" s="46"/>
      <c r="O435" s="46"/>
      <c r="P435" s="46"/>
      <c r="Q435" s="46"/>
      <c r="R435" s="46"/>
      <c r="S435" s="46"/>
      <c r="T435" s="46"/>
      <c r="W435" s="46"/>
      <c r="X435" s="46"/>
      <c r="Y435" s="46"/>
      <c r="Z435" s="46"/>
      <c r="AB435" s="46"/>
      <c r="AC435" s="46"/>
      <c r="AD435" s="46"/>
      <c r="AE435" s="46"/>
      <c r="AF435" s="46"/>
      <c r="AG435" s="46"/>
      <c r="AH435" s="46"/>
      <c r="AI435" s="46"/>
      <c r="AJ435" s="46"/>
      <c r="AK435" s="46"/>
      <c r="AL435" s="46"/>
      <c r="AM435" s="46"/>
      <c r="AN435" s="46"/>
      <c r="AO435" s="46"/>
      <c r="AP435" s="46"/>
      <c r="AQ435" s="41"/>
    </row>
    <row r="436" spans="9:43" x14ac:dyDescent="0.3">
      <c r="I436" s="70">
        <f t="shared" ca="1" si="9"/>
        <v>125</v>
      </c>
      <c r="J436" s="46"/>
      <c r="K436" s="46"/>
      <c r="L436" s="46"/>
      <c r="M436" s="46"/>
      <c r="N436" s="46"/>
      <c r="O436" s="46"/>
      <c r="P436" s="46"/>
      <c r="Q436" s="46"/>
      <c r="R436" s="46"/>
      <c r="S436" s="46"/>
      <c r="T436" s="46"/>
      <c r="W436" s="46"/>
      <c r="X436" s="46"/>
      <c r="Y436" s="46"/>
      <c r="Z436" s="46"/>
      <c r="AB436" s="46"/>
      <c r="AC436" s="46"/>
      <c r="AD436" s="46"/>
      <c r="AE436" s="46"/>
      <c r="AF436" s="46"/>
      <c r="AG436" s="46"/>
      <c r="AH436" s="46"/>
      <c r="AI436" s="46"/>
      <c r="AJ436" s="46"/>
      <c r="AK436" s="46"/>
      <c r="AL436" s="46"/>
      <c r="AM436" s="46"/>
      <c r="AN436" s="46"/>
      <c r="AO436" s="46"/>
      <c r="AP436" s="46"/>
      <c r="AQ436" s="41"/>
    </row>
    <row r="437" spans="9:43" x14ac:dyDescent="0.3">
      <c r="I437" s="70">
        <f t="shared" ca="1" si="9"/>
        <v>125</v>
      </c>
      <c r="J437" s="46"/>
      <c r="K437" s="46"/>
      <c r="L437" s="46"/>
      <c r="M437" s="46"/>
      <c r="N437" s="46"/>
      <c r="O437" s="46"/>
      <c r="P437" s="46"/>
      <c r="Q437" s="46"/>
      <c r="R437" s="46"/>
      <c r="S437" s="46"/>
      <c r="T437" s="46"/>
      <c r="W437" s="46"/>
      <c r="X437" s="46"/>
      <c r="Y437" s="46"/>
      <c r="Z437" s="46"/>
      <c r="AB437" s="46"/>
      <c r="AC437" s="46"/>
      <c r="AD437" s="46"/>
      <c r="AE437" s="46"/>
      <c r="AF437" s="46"/>
      <c r="AG437" s="46"/>
      <c r="AH437" s="46"/>
      <c r="AI437" s="46"/>
      <c r="AJ437" s="46"/>
      <c r="AK437" s="46"/>
      <c r="AL437" s="46"/>
      <c r="AM437" s="46"/>
      <c r="AN437" s="46"/>
      <c r="AO437" s="46"/>
      <c r="AP437" s="46"/>
      <c r="AQ437" s="41"/>
    </row>
    <row r="438" spans="9:43" x14ac:dyDescent="0.3">
      <c r="I438" s="70">
        <f t="shared" ca="1" si="9"/>
        <v>125</v>
      </c>
      <c r="J438" s="46"/>
      <c r="K438" s="46"/>
      <c r="L438" s="46"/>
      <c r="M438" s="46"/>
      <c r="N438" s="46"/>
      <c r="O438" s="46"/>
      <c r="P438" s="46"/>
      <c r="Q438" s="46"/>
      <c r="R438" s="46"/>
      <c r="S438" s="46"/>
      <c r="T438" s="46"/>
      <c r="W438" s="46"/>
      <c r="X438" s="46"/>
      <c r="Y438" s="46"/>
      <c r="Z438" s="46"/>
      <c r="AB438" s="46"/>
      <c r="AC438" s="46"/>
      <c r="AD438" s="46"/>
      <c r="AE438" s="46"/>
      <c r="AF438" s="46"/>
      <c r="AG438" s="46"/>
      <c r="AH438" s="46"/>
      <c r="AI438" s="46"/>
      <c r="AJ438" s="46"/>
      <c r="AK438" s="46"/>
      <c r="AL438" s="46"/>
      <c r="AM438" s="46"/>
      <c r="AN438" s="46"/>
      <c r="AO438" s="46"/>
      <c r="AP438" s="46"/>
      <c r="AQ438" s="41"/>
    </row>
    <row r="439" spans="9:43" x14ac:dyDescent="0.3">
      <c r="I439" s="70">
        <f t="shared" ca="1" si="9"/>
        <v>125</v>
      </c>
      <c r="J439" s="46"/>
      <c r="K439" s="46"/>
      <c r="L439" s="46"/>
      <c r="M439" s="46"/>
      <c r="N439" s="46"/>
      <c r="O439" s="46"/>
      <c r="P439" s="46"/>
      <c r="Q439" s="46"/>
      <c r="R439" s="46"/>
      <c r="S439" s="46"/>
      <c r="T439" s="46"/>
      <c r="W439" s="46"/>
      <c r="X439" s="46"/>
      <c r="Y439" s="46"/>
      <c r="Z439" s="46"/>
      <c r="AB439" s="46"/>
      <c r="AC439" s="46"/>
      <c r="AD439" s="46"/>
      <c r="AE439" s="46"/>
      <c r="AF439" s="46"/>
      <c r="AG439" s="46"/>
      <c r="AH439" s="46"/>
      <c r="AI439" s="46"/>
      <c r="AJ439" s="46"/>
      <c r="AK439" s="46"/>
      <c r="AL439" s="46"/>
      <c r="AM439" s="46"/>
      <c r="AN439" s="46"/>
      <c r="AO439" s="46"/>
      <c r="AP439" s="46"/>
      <c r="AQ439" s="41"/>
    </row>
    <row r="440" spans="9:43" x14ac:dyDescent="0.3">
      <c r="I440" s="70">
        <f t="shared" ca="1" si="9"/>
        <v>125</v>
      </c>
      <c r="J440" s="46"/>
      <c r="K440" s="46"/>
      <c r="L440" s="46"/>
      <c r="M440" s="46"/>
      <c r="N440" s="46"/>
      <c r="O440" s="46"/>
      <c r="P440" s="46"/>
      <c r="Q440" s="46"/>
      <c r="R440" s="46"/>
      <c r="S440" s="46"/>
      <c r="T440" s="46"/>
      <c r="W440" s="46"/>
      <c r="X440" s="46"/>
      <c r="Y440" s="46"/>
      <c r="Z440" s="46"/>
      <c r="AB440" s="46"/>
      <c r="AC440" s="46"/>
      <c r="AD440" s="46"/>
      <c r="AE440" s="46"/>
      <c r="AF440" s="46"/>
      <c r="AG440" s="46"/>
      <c r="AH440" s="46"/>
      <c r="AI440" s="46"/>
      <c r="AJ440" s="46"/>
      <c r="AK440" s="46"/>
      <c r="AL440" s="46"/>
      <c r="AM440" s="46"/>
      <c r="AN440" s="46"/>
      <c r="AO440" s="46"/>
      <c r="AP440" s="46"/>
      <c r="AQ440" s="41"/>
    </row>
    <row r="441" spans="9:43" x14ac:dyDescent="0.3">
      <c r="I441" s="70">
        <f t="shared" ca="1" si="9"/>
        <v>125</v>
      </c>
      <c r="J441" s="46"/>
      <c r="K441" s="46"/>
      <c r="L441" s="46"/>
      <c r="M441" s="46"/>
      <c r="N441" s="46"/>
      <c r="O441" s="46"/>
      <c r="P441" s="46"/>
      <c r="Q441" s="46"/>
      <c r="R441" s="46"/>
      <c r="S441" s="46"/>
      <c r="T441" s="46"/>
      <c r="W441" s="46"/>
      <c r="X441" s="46"/>
      <c r="Y441" s="46"/>
      <c r="Z441" s="46"/>
      <c r="AB441" s="46"/>
      <c r="AC441" s="46"/>
      <c r="AD441" s="46"/>
      <c r="AE441" s="46"/>
      <c r="AF441" s="46"/>
      <c r="AG441" s="46"/>
      <c r="AH441" s="46"/>
      <c r="AI441" s="46"/>
      <c r="AJ441" s="46"/>
      <c r="AK441" s="46"/>
      <c r="AL441" s="46"/>
      <c r="AM441" s="46"/>
      <c r="AN441" s="46"/>
      <c r="AO441" s="46"/>
      <c r="AP441" s="46"/>
      <c r="AQ441" s="41"/>
    </row>
    <row r="442" spans="9:43" x14ac:dyDescent="0.3">
      <c r="I442" s="70">
        <f t="shared" ca="1" si="9"/>
        <v>125</v>
      </c>
      <c r="J442" s="46"/>
      <c r="K442" s="46"/>
      <c r="L442" s="46"/>
      <c r="M442" s="46"/>
      <c r="N442" s="46"/>
      <c r="O442" s="46"/>
      <c r="P442" s="46"/>
      <c r="Q442" s="46"/>
      <c r="R442" s="46"/>
      <c r="S442" s="46"/>
      <c r="T442" s="46"/>
      <c r="W442" s="46"/>
      <c r="X442" s="46"/>
      <c r="Y442" s="46"/>
      <c r="Z442" s="46"/>
      <c r="AB442" s="46"/>
      <c r="AC442" s="46"/>
      <c r="AD442" s="46"/>
      <c r="AE442" s="46"/>
      <c r="AF442" s="46"/>
      <c r="AG442" s="46"/>
      <c r="AH442" s="46"/>
      <c r="AI442" s="46"/>
      <c r="AJ442" s="46"/>
      <c r="AK442" s="46"/>
      <c r="AL442" s="46"/>
      <c r="AM442" s="46"/>
      <c r="AN442" s="46"/>
      <c r="AO442" s="46"/>
      <c r="AP442" s="46"/>
      <c r="AQ442" s="41"/>
    </row>
    <row r="443" spans="9:43" x14ac:dyDescent="0.3">
      <c r="I443" s="70">
        <f t="shared" ca="1" si="9"/>
        <v>125</v>
      </c>
      <c r="J443" s="46"/>
      <c r="K443" s="46"/>
      <c r="L443" s="46"/>
      <c r="M443" s="46"/>
      <c r="N443" s="46"/>
      <c r="O443" s="46"/>
      <c r="P443" s="46"/>
      <c r="Q443" s="46"/>
      <c r="R443" s="46"/>
      <c r="S443" s="46"/>
      <c r="T443" s="46"/>
      <c r="W443" s="46"/>
      <c r="X443" s="46"/>
      <c r="Y443" s="46"/>
      <c r="Z443" s="46"/>
      <c r="AB443" s="46"/>
      <c r="AC443" s="46"/>
      <c r="AD443" s="46"/>
      <c r="AE443" s="46"/>
      <c r="AF443" s="46"/>
      <c r="AG443" s="46"/>
      <c r="AH443" s="46"/>
      <c r="AI443" s="46"/>
      <c r="AJ443" s="46"/>
      <c r="AK443" s="46"/>
      <c r="AL443" s="46"/>
      <c r="AM443" s="46"/>
      <c r="AN443" s="46"/>
      <c r="AO443" s="46"/>
      <c r="AP443" s="46"/>
      <c r="AQ443" s="41"/>
    </row>
    <row r="444" spans="9:43" x14ac:dyDescent="0.3">
      <c r="I444" s="70">
        <f t="shared" ca="1" si="9"/>
        <v>125</v>
      </c>
      <c r="J444" s="46"/>
      <c r="K444" s="46"/>
      <c r="L444" s="46"/>
      <c r="M444" s="46"/>
      <c r="N444" s="46"/>
      <c r="O444" s="46"/>
      <c r="P444" s="46"/>
      <c r="Q444" s="46"/>
      <c r="R444" s="46"/>
      <c r="S444" s="46"/>
      <c r="T444" s="46"/>
      <c r="W444" s="46"/>
      <c r="X444" s="46"/>
      <c r="Y444" s="46"/>
      <c r="Z444" s="46"/>
      <c r="AB444" s="46"/>
      <c r="AC444" s="46"/>
      <c r="AD444" s="46"/>
      <c r="AE444" s="46"/>
      <c r="AF444" s="46"/>
      <c r="AG444" s="46"/>
      <c r="AH444" s="46"/>
      <c r="AI444" s="46"/>
      <c r="AJ444" s="46"/>
      <c r="AK444" s="46"/>
      <c r="AL444" s="46"/>
      <c r="AM444" s="46"/>
      <c r="AN444" s="46"/>
      <c r="AO444" s="46"/>
      <c r="AP444" s="46"/>
      <c r="AQ444" s="41"/>
    </row>
    <row r="445" spans="9:43" x14ac:dyDescent="0.3">
      <c r="I445" s="70">
        <f t="shared" ca="1" si="9"/>
        <v>125</v>
      </c>
      <c r="J445" s="46"/>
      <c r="K445" s="46"/>
      <c r="L445" s="46"/>
      <c r="M445" s="46"/>
      <c r="N445" s="46"/>
      <c r="O445" s="46"/>
      <c r="P445" s="46"/>
      <c r="Q445" s="46"/>
      <c r="R445" s="46"/>
      <c r="S445" s="46"/>
      <c r="T445" s="46"/>
      <c r="W445" s="46"/>
      <c r="X445" s="46"/>
      <c r="Y445" s="46"/>
      <c r="Z445" s="46"/>
      <c r="AB445" s="46"/>
      <c r="AC445" s="46"/>
      <c r="AD445" s="46"/>
      <c r="AE445" s="46"/>
      <c r="AF445" s="46"/>
      <c r="AG445" s="46"/>
      <c r="AH445" s="46"/>
      <c r="AI445" s="46"/>
      <c r="AJ445" s="46"/>
      <c r="AK445" s="46"/>
      <c r="AL445" s="46"/>
      <c r="AM445" s="46"/>
      <c r="AN445" s="46"/>
      <c r="AO445" s="46"/>
      <c r="AP445" s="46"/>
      <c r="AQ445" s="41"/>
    </row>
    <row r="446" spans="9:43" x14ac:dyDescent="0.3">
      <c r="I446" s="70">
        <f t="shared" ca="1" si="9"/>
        <v>125</v>
      </c>
      <c r="J446" s="46"/>
      <c r="K446" s="46"/>
      <c r="L446" s="46"/>
      <c r="M446" s="46"/>
      <c r="N446" s="46"/>
      <c r="O446" s="46"/>
      <c r="P446" s="46"/>
      <c r="Q446" s="46"/>
      <c r="R446" s="46"/>
      <c r="S446" s="46"/>
      <c r="T446" s="46"/>
      <c r="W446" s="46"/>
      <c r="X446" s="46"/>
      <c r="Y446" s="46"/>
      <c r="Z446" s="46"/>
      <c r="AB446" s="46"/>
      <c r="AC446" s="46"/>
      <c r="AD446" s="46"/>
      <c r="AE446" s="46"/>
      <c r="AF446" s="46"/>
      <c r="AG446" s="46"/>
      <c r="AH446" s="46"/>
      <c r="AI446" s="46"/>
      <c r="AJ446" s="46"/>
      <c r="AK446" s="46"/>
      <c r="AL446" s="46"/>
      <c r="AM446" s="46"/>
      <c r="AN446" s="46"/>
      <c r="AO446" s="46"/>
      <c r="AP446" s="46"/>
      <c r="AQ446" s="41"/>
    </row>
    <row r="447" spans="9:43" x14ac:dyDescent="0.3">
      <c r="I447" s="70">
        <f t="shared" ca="1" si="9"/>
        <v>125</v>
      </c>
      <c r="J447" s="46"/>
      <c r="K447" s="46"/>
      <c r="L447" s="46"/>
      <c r="M447" s="46"/>
      <c r="N447" s="46"/>
      <c r="O447" s="46"/>
      <c r="P447" s="46"/>
      <c r="Q447" s="46"/>
      <c r="R447" s="46"/>
      <c r="S447" s="46"/>
      <c r="T447" s="46"/>
      <c r="W447" s="46"/>
      <c r="X447" s="46"/>
      <c r="Y447" s="46"/>
      <c r="Z447" s="46"/>
      <c r="AB447" s="46"/>
      <c r="AC447" s="46"/>
      <c r="AD447" s="46"/>
      <c r="AE447" s="46"/>
      <c r="AF447" s="46"/>
      <c r="AG447" s="46"/>
      <c r="AH447" s="46"/>
      <c r="AI447" s="46"/>
      <c r="AJ447" s="46"/>
      <c r="AK447" s="46"/>
      <c r="AL447" s="46"/>
      <c r="AM447" s="46"/>
      <c r="AN447" s="46"/>
      <c r="AO447" s="46"/>
      <c r="AP447" s="46"/>
      <c r="AQ447" s="41"/>
    </row>
    <row r="448" spans="9:43" x14ac:dyDescent="0.3">
      <c r="I448" s="70">
        <f t="shared" ca="1" si="9"/>
        <v>125</v>
      </c>
      <c r="J448" s="46"/>
      <c r="K448" s="46"/>
      <c r="L448" s="46"/>
      <c r="M448" s="46"/>
      <c r="N448" s="46"/>
      <c r="O448" s="46"/>
      <c r="P448" s="46"/>
      <c r="Q448" s="46"/>
      <c r="R448" s="46"/>
      <c r="S448" s="46"/>
      <c r="T448" s="46"/>
      <c r="W448" s="46"/>
      <c r="X448" s="46"/>
      <c r="Y448" s="46"/>
      <c r="Z448" s="46"/>
      <c r="AB448" s="46"/>
      <c r="AC448" s="46"/>
      <c r="AD448" s="46"/>
      <c r="AE448" s="46"/>
      <c r="AF448" s="46"/>
      <c r="AG448" s="46"/>
      <c r="AH448" s="46"/>
      <c r="AI448" s="46"/>
      <c r="AJ448" s="46"/>
      <c r="AK448" s="46"/>
      <c r="AL448" s="46"/>
      <c r="AM448" s="46"/>
      <c r="AN448" s="46"/>
      <c r="AO448" s="46"/>
      <c r="AP448" s="46"/>
      <c r="AQ448" s="41"/>
    </row>
    <row r="449" spans="9:43" x14ac:dyDescent="0.3">
      <c r="I449" s="70">
        <f t="shared" ca="1" si="9"/>
        <v>125</v>
      </c>
      <c r="J449" s="46"/>
      <c r="K449" s="46"/>
      <c r="L449" s="46"/>
      <c r="M449" s="46"/>
      <c r="N449" s="46"/>
      <c r="O449" s="46"/>
      <c r="P449" s="46"/>
      <c r="Q449" s="46"/>
      <c r="R449" s="46"/>
      <c r="S449" s="46"/>
      <c r="T449" s="46"/>
      <c r="W449" s="46"/>
      <c r="X449" s="46"/>
      <c r="Y449" s="46"/>
      <c r="Z449" s="46"/>
      <c r="AB449" s="46"/>
      <c r="AC449" s="46"/>
      <c r="AD449" s="46"/>
      <c r="AE449" s="46"/>
      <c r="AF449" s="46"/>
      <c r="AG449" s="46"/>
      <c r="AH449" s="46"/>
      <c r="AI449" s="46"/>
      <c r="AJ449" s="46"/>
      <c r="AK449" s="46"/>
      <c r="AL449" s="46"/>
      <c r="AM449" s="46"/>
      <c r="AN449" s="46"/>
      <c r="AO449" s="46"/>
      <c r="AP449" s="46"/>
      <c r="AQ449" s="41"/>
    </row>
    <row r="450" spans="9:43" x14ac:dyDescent="0.3">
      <c r="I450" s="70">
        <f t="shared" ca="1" si="9"/>
        <v>125</v>
      </c>
      <c r="J450" s="46"/>
      <c r="K450" s="46"/>
      <c r="L450" s="46"/>
      <c r="M450" s="46"/>
      <c r="N450" s="46"/>
      <c r="O450" s="46"/>
      <c r="P450" s="46"/>
      <c r="Q450" s="46"/>
      <c r="R450" s="46"/>
      <c r="S450" s="46"/>
      <c r="T450" s="46"/>
      <c r="W450" s="46"/>
      <c r="X450" s="46"/>
      <c r="Y450" s="46"/>
      <c r="Z450" s="46"/>
      <c r="AB450" s="46"/>
      <c r="AC450" s="46"/>
      <c r="AD450" s="46"/>
      <c r="AE450" s="46"/>
      <c r="AF450" s="46"/>
      <c r="AG450" s="46"/>
      <c r="AH450" s="46"/>
      <c r="AI450" s="46"/>
      <c r="AJ450" s="46"/>
      <c r="AK450" s="46"/>
      <c r="AL450" s="46"/>
      <c r="AM450" s="46"/>
      <c r="AN450" s="46"/>
      <c r="AO450" s="46"/>
      <c r="AP450" s="46"/>
      <c r="AQ450" s="41"/>
    </row>
    <row r="451" spans="9:43" x14ac:dyDescent="0.3">
      <c r="I451" s="70">
        <f t="shared" ca="1" si="9"/>
        <v>125</v>
      </c>
      <c r="J451" s="46"/>
      <c r="K451" s="46"/>
      <c r="L451" s="46"/>
      <c r="M451" s="46"/>
      <c r="N451" s="46"/>
      <c r="O451" s="46"/>
      <c r="P451" s="46"/>
      <c r="Q451" s="46"/>
      <c r="R451" s="46"/>
      <c r="S451" s="46"/>
      <c r="T451" s="46"/>
      <c r="W451" s="46"/>
      <c r="X451" s="46"/>
      <c r="Y451" s="46"/>
      <c r="Z451" s="46"/>
      <c r="AB451" s="46"/>
      <c r="AC451" s="46"/>
      <c r="AD451" s="46"/>
      <c r="AE451" s="46"/>
      <c r="AF451" s="46"/>
      <c r="AG451" s="46"/>
      <c r="AH451" s="46"/>
      <c r="AI451" s="46"/>
      <c r="AJ451" s="46"/>
      <c r="AK451" s="46"/>
      <c r="AL451" s="46"/>
      <c r="AM451" s="46"/>
      <c r="AN451" s="46"/>
      <c r="AO451" s="46"/>
      <c r="AP451" s="46"/>
      <c r="AQ451" s="41"/>
    </row>
    <row r="452" spans="9:43" x14ac:dyDescent="0.3">
      <c r="I452" s="70">
        <f t="shared" ca="1" si="9"/>
        <v>125</v>
      </c>
      <c r="J452" s="46"/>
      <c r="K452" s="46"/>
      <c r="L452" s="46"/>
      <c r="M452" s="46"/>
      <c r="N452" s="46"/>
      <c r="O452" s="46"/>
      <c r="P452" s="46"/>
      <c r="Q452" s="46"/>
      <c r="R452" s="46"/>
      <c r="S452" s="46"/>
      <c r="T452" s="46"/>
      <c r="W452" s="46"/>
      <c r="X452" s="46"/>
      <c r="Y452" s="46"/>
      <c r="Z452" s="46"/>
      <c r="AB452" s="46"/>
      <c r="AC452" s="46"/>
      <c r="AD452" s="46"/>
      <c r="AE452" s="46"/>
      <c r="AF452" s="46"/>
      <c r="AG452" s="46"/>
      <c r="AH452" s="46"/>
      <c r="AI452" s="46"/>
      <c r="AJ452" s="46"/>
      <c r="AK452" s="46"/>
      <c r="AL452" s="46"/>
      <c r="AM452" s="46"/>
      <c r="AN452" s="46"/>
      <c r="AO452" s="46"/>
      <c r="AP452" s="46"/>
      <c r="AQ452" s="41"/>
    </row>
    <row r="453" spans="9:43" x14ac:dyDescent="0.3">
      <c r="I453" s="70">
        <f t="shared" ca="1" si="9"/>
        <v>125</v>
      </c>
      <c r="J453" s="46"/>
      <c r="K453" s="46"/>
      <c r="L453" s="46"/>
      <c r="M453" s="46"/>
      <c r="N453" s="46"/>
      <c r="O453" s="46"/>
      <c r="P453" s="46"/>
      <c r="Q453" s="46"/>
      <c r="R453" s="46"/>
      <c r="S453" s="46"/>
      <c r="T453" s="46"/>
      <c r="W453" s="46"/>
      <c r="X453" s="46"/>
      <c r="Y453" s="46"/>
      <c r="Z453" s="46"/>
      <c r="AB453" s="46"/>
      <c r="AC453" s="46"/>
      <c r="AD453" s="46"/>
      <c r="AE453" s="46"/>
      <c r="AF453" s="46"/>
      <c r="AG453" s="46"/>
      <c r="AH453" s="46"/>
      <c r="AI453" s="46"/>
      <c r="AJ453" s="46"/>
      <c r="AK453" s="46"/>
      <c r="AL453" s="46"/>
      <c r="AM453" s="46"/>
      <c r="AN453" s="46"/>
      <c r="AO453" s="46"/>
      <c r="AP453" s="46"/>
      <c r="AQ453" s="41"/>
    </row>
    <row r="454" spans="9:43" x14ac:dyDescent="0.3">
      <c r="I454" s="70">
        <f t="shared" ca="1" si="9"/>
        <v>125</v>
      </c>
      <c r="J454" s="46"/>
      <c r="K454" s="46"/>
      <c r="L454" s="46"/>
      <c r="M454" s="46"/>
      <c r="N454" s="46"/>
      <c r="O454" s="46"/>
      <c r="P454" s="46"/>
      <c r="Q454" s="46"/>
      <c r="R454" s="46"/>
      <c r="S454" s="46"/>
      <c r="T454" s="46"/>
      <c r="W454" s="46"/>
      <c r="X454" s="46"/>
      <c r="Y454" s="46"/>
      <c r="Z454" s="46"/>
      <c r="AB454" s="46"/>
      <c r="AC454" s="46"/>
      <c r="AD454" s="46"/>
      <c r="AE454" s="46"/>
      <c r="AF454" s="46"/>
      <c r="AG454" s="46"/>
      <c r="AH454" s="46"/>
      <c r="AI454" s="46"/>
      <c r="AJ454" s="46"/>
      <c r="AK454" s="46"/>
      <c r="AL454" s="46"/>
      <c r="AM454" s="46"/>
      <c r="AN454" s="46"/>
      <c r="AO454" s="46"/>
      <c r="AP454" s="46"/>
      <c r="AQ454" s="41"/>
    </row>
    <row r="455" spans="9:43" x14ac:dyDescent="0.3">
      <c r="I455" s="70">
        <f t="shared" ca="1" si="9"/>
        <v>125</v>
      </c>
      <c r="J455" s="46"/>
      <c r="K455" s="46"/>
      <c r="L455" s="46"/>
      <c r="M455" s="46"/>
      <c r="N455" s="46"/>
      <c r="O455" s="46"/>
      <c r="P455" s="46"/>
      <c r="Q455" s="46"/>
      <c r="R455" s="46"/>
      <c r="S455" s="46"/>
      <c r="T455" s="46"/>
      <c r="W455" s="46"/>
      <c r="X455" s="46"/>
      <c r="Y455" s="46"/>
      <c r="Z455" s="46"/>
      <c r="AB455" s="46"/>
      <c r="AC455" s="46"/>
      <c r="AD455" s="46"/>
      <c r="AE455" s="46"/>
      <c r="AF455" s="46"/>
      <c r="AG455" s="46"/>
      <c r="AH455" s="46"/>
      <c r="AI455" s="46"/>
      <c r="AJ455" s="46"/>
      <c r="AK455" s="46"/>
      <c r="AL455" s="46"/>
      <c r="AM455" s="46"/>
      <c r="AN455" s="46"/>
      <c r="AO455" s="46"/>
      <c r="AP455" s="46"/>
      <c r="AQ455" s="41"/>
    </row>
    <row r="456" spans="9:43" x14ac:dyDescent="0.3">
      <c r="I456" s="70">
        <f t="shared" ca="1" si="9"/>
        <v>125</v>
      </c>
      <c r="J456" s="46"/>
      <c r="K456" s="46"/>
      <c r="L456" s="46"/>
      <c r="M456" s="46"/>
      <c r="N456" s="46"/>
      <c r="O456" s="46"/>
      <c r="P456" s="46"/>
      <c r="Q456" s="46"/>
      <c r="R456" s="46"/>
      <c r="S456" s="46"/>
      <c r="T456" s="46"/>
      <c r="W456" s="46"/>
      <c r="X456" s="46"/>
      <c r="Y456" s="46"/>
      <c r="Z456" s="46"/>
      <c r="AB456" s="46"/>
      <c r="AC456" s="46"/>
      <c r="AD456" s="46"/>
      <c r="AE456" s="46"/>
      <c r="AF456" s="46"/>
      <c r="AG456" s="46"/>
      <c r="AH456" s="46"/>
      <c r="AI456" s="46"/>
      <c r="AJ456" s="46"/>
      <c r="AK456" s="46"/>
      <c r="AL456" s="46"/>
      <c r="AM456" s="46"/>
      <c r="AN456" s="46"/>
      <c r="AO456" s="46"/>
      <c r="AP456" s="46"/>
      <c r="AQ456" s="41"/>
    </row>
    <row r="457" spans="9:43" x14ac:dyDescent="0.3">
      <c r="I457" s="70">
        <f t="shared" ca="1" si="9"/>
        <v>125</v>
      </c>
      <c r="J457" s="46"/>
      <c r="K457" s="46"/>
      <c r="L457" s="46"/>
      <c r="M457" s="46"/>
      <c r="N457" s="46"/>
      <c r="O457" s="46"/>
      <c r="P457" s="46"/>
      <c r="Q457" s="46"/>
      <c r="R457" s="46"/>
      <c r="S457" s="46"/>
      <c r="T457" s="46"/>
      <c r="W457" s="46"/>
      <c r="X457" s="46"/>
      <c r="Y457" s="46"/>
      <c r="Z457" s="46"/>
      <c r="AB457" s="46"/>
      <c r="AC457" s="46"/>
      <c r="AD457" s="46"/>
      <c r="AE457" s="46"/>
      <c r="AF457" s="46"/>
      <c r="AG457" s="46"/>
      <c r="AH457" s="46"/>
      <c r="AI457" s="46"/>
      <c r="AJ457" s="46"/>
      <c r="AK457" s="46"/>
      <c r="AL457" s="46"/>
      <c r="AM457" s="46"/>
      <c r="AN457" s="46"/>
      <c r="AO457" s="46"/>
      <c r="AP457" s="46"/>
      <c r="AQ457" s="41"/>
    </row>
    <row r="458" spans="9:43" x14ac:dyDescent="0.3">
      <c r="I458" s="70">
        <f t="shared" ca="1" si="9"/>
        <v>125</v>
      </c>
      <c r="J458" s="46"/>
      <c r="K458" s="46"/>
      <c r="L458" s="46"/>
      <c r="M458" s="46"/>
      <c r="N458" s="46"/>
      <c r="O458" s="46"/>
      <c r="P458" s="46"/>
      <c r="Q458" s="46"/>
      <c r="R458" s="46"/>
      <c r="S458" s="46"/>
      <c r="T458" s="46"/>
      <c r="W458" s="46"/>
      <c r="X458" s="46"/>
      <c r="Y458" s="46"/>
      <c r="Z458" s="46"/>
      <c r="AB458" s="46"/>
      <c r="AC458" s="46"/>
      <c r="AD458" s="46"/>
      <c r="AE458" s="46"/>
      <c r="AF458" s="46"/>
      <c r="AG458" s="46"/>
      <c r="AH458" s="46"/>
      <c r="AI458" s="46"/>
      <c r="AJ458" s="46"/>
      <c r="AK458" s="46"/>
      <c r="AL458" s="46"/>
      <c r="AM458" s="46"/>
      <c r="AN458" s="46"/>
      <c r="AO458" s="46"/>
      <c r="AP458" s="46"/>
      <c r="AQ458" s="41"/>
    </row>
    <row r="459" spans="9:43" x14ac:dyDescent="0.3">
      <c r="I459" s="70">
        <f t="shared" ca="1" si="9"/>
        <v>125</v>
      </c>
      <c r="J459" s="46"/>
      <c r="K459" s="46"/>
      <c r="L459" s="46"/>
      <c r="M459" s="46"/>
      <c r="N459" s="46"/>
      <c r="O459" s="46"/>
      <c r="P459" s="46"/>
      <c r="Q459" s="46"/>
      <c r="R459" s="46"/>
      <c r="S459" s="46"/>
      <c r="T459" s="46"/>
      <c r="W459" s="46"/>
      <c r="X459" s="46"/>
      <c r="Y459" s="46"/>
      <c r="Z459" s="46"/>
      <c r="AB459" s="46"/>
      <c r="AC459" s="46"/>
      <c r="AD459" s="46"/>
      <c r="AE459" s="46"/>
      <c r="AF459" s="46"/>
      <c r="AG459" s="46"/>
      <c r="AH459" s="46"/>
      <c r="AI459" s="46"/>
      <c r="AJ459" s="46"/>
      <c r="AK459" s="46"/>
      <c r="AL459" s="46"/>
      <c r="AM459" s="46"/>
      <c r="AN459" s="46"/>
      <c r="AO459" s="46"/>
      <c r="AP459" s="46"/>
      <c r="AQ459" s="41"/>
    </row>
    <row r="460" spans="9:43" x14ac:dyDescent="0.3">
      <c r="I460" s="70">
        <f t="shared" ca="1" si="9"/>
        <v>125</v>
      </c>
      <c r="J460" s="46"/>
      <c r="K460" s="46"/>
      <c r="L460" s="46"/>
      <c r="M460" s="46"/>
      <c r="N460" s="46"/>
      <c r="O460" s="46"/>
      <c r="P460" s="46"/>
      <c r="Q460" s="46"/>
      <c r="R460" s="46"/>
      <c r="S460" s="46"/>
      <c r="T460" s="46"/>
      <c r="W460" s="46"/>
      <c r="X460" s="46"/>
      <c r="Y460" s="46"/>
      <c r="Z460" s="46"/>
      <c r="AB460" s="46"/>
      <c r="AC460" s="46"/>
      <c r="AD460" s="46"/>
      <c r="AE460" s="46"/>
      <c r="AF460" s="46"/>
      <c r="AG460" s="46"/>
      <c r="AH460" s="46"/>
      <c r="AI460" s="46"/>
      <c r="AJ460" s="46"/>
      <c r="AK460" s="46"/>
      <c r="AL460" s="46"/>
      <c r="AM460" s="46"/>
      <c r="AN460" s="46"/>
      <c r="AO460" s="46"/>
      <c r="AP460" s="46"/>
      <c r="AQ460" s="41"/>
    </row>
    <row r="461" spans="9:43" x14ac:dyDescent="0.3">
      <c r="I461" s="70">
        <f t="shared" ca="1" si="9"/>
        <v>125</v>
      </c>
      <c r="J461" s="46"/>
      <c r="K461" s="46"/>
      <c r="L461" s="46"/>
      <c r="M461" s="46"/>
      <c r="N461" s="46"/>
      <c r="O461" s="46"/>
      <c r="P461" s="46"/>
      <c r="Q461" s="46"/>
      <c r="R461" s="46"/>
      <c r="S461" s="46"/>
      <c r="T461" s="46"/>
      <c r="W461" s="46"/>
      <c r="X461" s="46"/>
      <c r="Y461" s="46"/>
      <c r="Z461" s="46"/>
      <c r="AB461" s="46"/>
      <c r="AC461" s="46"/>
      <c r="AD461" s="46"/>
      <c r="AE461" s="46"/>
      <c r="AF461" s="46"/>
      <c r="AG461" s="46"/>
      <c r="AH461" s="46"/>
      <c r="AI461" s="46"/>
      <c r="AJ461" s="46"/>
      <c r="AK461" s="46"/>
      <c r="AL461" s="46"/>
      <c r="AM461" s="46"/>
      <c r="AN461" s="46"/>
      <c r="AO461" s="46"/>
      <c r="AP461" s="46"/>
      <c r="AQ461" s="41"/>
    </row>
    <row r="462" spans="9:43" x14ac:dyDescent="0.3">
      <c r="I462" s="70">
        <f t="shared" ca="1" si="9"/>
        <v>125</v>
      </c>
      <c r="J462" s="46"/>
      <c r="K462" s="46"/>
      <c r="L462" s="46"/>
      <c r="M462" s="46"/>
      <c r="N462" s="46"/>
      <c r="O462" s="46"/>
      <c r="P462" s="46"/>
      <c r="Q462" s="46"/>
      <c r="R462" s="46"/>
      <c r="S462" s="46"/>
      <c r="T462" s="46"/>
      <c r="W462" s="46"/>
      <c r="X462" s="46"/>
      <c r="Y462" s="46"/>
      <c r="Z462" s="46"/>
      <c r="AB462" s="46"/>
      <c r="AC462" s="46"/>
      <c r="AD462" s="46"/>
      <c r="AE462" s="46"/>
      <c r="AF462" s="46"/>
      <c r="AG462" s="46"/>
      <c r="AH462" s="46"/>
      <c r="AI462" s="46"/>
      <c r="AJ462" s="46"/>
      <c r="AK462" s="46"/>
      <c r="AL462" s="46"/>
      <c r="AM462" s="46"/>
      <c r="AN462" s="46"/>
      <c r="AO462" s="46"/>
      <c r="AP462" s="46"/>
      <c r="AQ462" s="41"/>
    </row>
    <row r="463" spans="9:43" x14ac:dyDescent="0.3">
      <c r="I463" s="70">
        <f t="shared" ca="1" si="9"/>
        <v>125</v>
      </c>
      <c r="J463" s="46"/>
      <c r="K463" s="46"/>
      <c r="L463" s="46"/>
      <c r="M463" s="46"/>
      <c r="N463" s="46"/>
      <c r="O463" s="46"/>
      <c r="P463" s="46"/>
      <c r="Q463" s="46"/>
      <c r="R463" s="46"/>
      <c r="S463" s="46"/>
      <c r="T463" s="46"/>
      <c r="W463" s="46"/>
      <c r="X463" s="46"/>
      <c r="Y463" s="46"/>
      <c r="Z463" s="46"/>
      <c r="AB463" s="46"/>
      <c r="AC463" s="46"/>
      <c r="AD463" s="46"/>
      <c r="AE463" s="46"/>
      <c r="AF463" s="46"/>
      <c r="AG463" s="46"/>
      <c r="AH463" s="46"/>
      <c r="AI463" s="46"/>
      <c r="AJ463" s="46"/>
      <c r="AK463" s="46"/>
      <c r="AL463" s="46"/>
      <c r="AM463" s="46"/>
      <c r="AN463" s="46"/>
      <c r="AO463" s="46"/>
      <c r="AP463" s="46"/>
      <c r="AQ463" s="41"/>
    </row>
    <row r="464" spans="9:43" x14ac:dyDescent="0.3">
      <c r="I464" s="70">
        <f t="shared" ca="1" si="9"/>
        <v>125</v>
      </c>
      <c r="J464" s="46"/>
      <c r="K464" s="46"/>
      <c r="L464" s="46"/>
      <c r="M464" s="46"/>
      <c r="N464" s="46"/>
      <c r="O464" s="46"/>
      <c r="P464" s="46"/>
      <c r="Q464" s="46"/>
      <c r="R464" s="46"/>
      <c r="S464" s="46"/>
      <c r="T464" s="46"/>
      <c r="W464" s="46"/>
      <c r="X464" s="46"/>
      <c r="Y464" s="46"/>
      <c r="Z464" s="46"/>
      <c r="AB464" s="46"/>
      <c r="AC464" s="46"/>
      <c r="AD464" s="46"/>
      <c r="AE464" s="46"/>
      <c r="AF464" s="46"/>
      <c r="AG464" s="46"/>
      <c r="AH464" s="46"/>
      <c r="AI464" s="46"/>
      <c r="AJ464" s="46"/>
      <c r="AK464" s="46"/>
      <c r="AL464" s="46"/>
      <c r="AM464" s="46"/>
      <c r="AN464" s="46"/>
      <c r="AO464" s="46"/>
      <c r="AP464" s="46"/>
      <c r="AQ464" s="41"/>
    </row>
    <row r="465" spans="9:43" x14ac:dyDescent="0.3">
      <c r="I465" s="70">
        <f t="shared" ca="1" si="9"/>
        <v>125</v>
      </c>
      <c r="J465" s="46"/>
      <c r="K465" s="46"/>
      <c r="L465" s="46"/>
      <c r="M465" s="46"/>
      <c r="N465" s="46"/>
      <c r="O465" s="46"/>
      <c r="P465" s="46"/>
      <c r="Q465" s="46"/>
      <c r="R465" s="46"/>
      <c r="S465" s="46"/>
      <c r="T465" s="46"/>
      <c r="W465" s="46"/>
      <c r="X465" s="46"/>
      <c r="Y465" s="46"/>
      <c r="Z465" s="46"/>
      <c r="AB465" s="46"/>
      <c r="AC465" s="46"/>
      <c r="AD465" s="46"/>
      <c r="AE465" s="46"/>
      <c r="AF465" s="46"/>
      <c r="AG465" s="46"/>
      <c r="AH465" s="46"/>
      <c r="AI465" s="46"/>
      <c r="AJ465" s="46"/>
      <c r="AK465" s="46"/>
      <c r="AL465" s="46"/>
      <c r="AM465" s="46"/>
      <c r="AN465" s="46"/>
      <c r="AO465" s="46"/>
      <c r="AP465" s="46"/>
      <c r="AQ465" s="41"/>
    </row>
    <row r="466" spans="9:43" x14ac:dyDescent="0.3">
      <c r="I466" s="70">
        <f t="shared" ref="I466:I480" ca="1" si="10">INT((TODAY()-H466)/365.25)</f>
        <v>125</v>
      </c>
      <c r="J466" s="46"/>
      <c r="K466" s="46"/>
      <c r="L466" s="46"/>
      <c r="M466" s="46"/>
      <c r="N466" s="46"/>
      <c r="O466" s="46"/>
      <c r="P466" s="46"/>
      <c r="Q466" s="46"/>
      <c r="R466" s="46"/>
      <c r="S466" s="46"/>
      <c r="T466" s="46"/>
      <c r="W466" s="46"/>
      <c r="X466" s="46"/>
      <c r="Y466" s="46"/>
      <c r="Z466" s="46"/>
      <c r="AB466" s="46"/>
      <c r="AC466" s="46"/>
      <c r="AD466" s="46"/>
      <c r="AE466" s="46"/>
      <c r="AF466" s="46"/>
      <c r="AG466" s="46"/>
      <c r="AH466" s="46"/>
      <c r="AI466" s="46"/>
      <c r="AJ466" s="46"/>
      <c r="AK466" s="46"/>
      <c r="AL466" s="46"/>
      <c r="AM466" s="46"/>
      <c r="AN466" s="46"/>
      <c r="AO466" s="46"/>
      <c r="AP466" s="46"/>
      <c r="AQ466" s="41"/>
    </row>
    <row r="467" spans="9:43" x14ac:dyDescent="0.3">
      <c r="I467" s="70">
        <f t="shared" ca="1" si="10"/>
        <v>125</v>
      </c>
      <c r="J467" s="46"/>
      <c r="K467" s="46"/>
      <c r="L467" s="46"/>
      <c r="M467" s="46"/>
      <c r="N467" s="46"/>
      <c r="O467" s="46"/>
      <c r="P467" s="46"/>
      <c r="Q467" s="46"/>
      <c r="R467" s="46"/>
      <c r="S467" s="46"/>
      <c r="T467" s="46"/>
      <c r="W467" s="46"/>
      <c r="X467" s="46"/>
      <c r="Y467" s="46"/>
      <c r="Z467" s="46"/>
      <c r="AB467" s="46"/>
      <c r="AC467" s="46"/>
      <c r="AD467" s="46"/>
      <c r="AE467" s="46"/>
      <c r="AF467" s="46"/>
      <c r="AG467" s="46"/>
      <c r="AH467" s="46"/>
      <c r="AI467" s="46"/>
      <c r="AJ467" s="46"/>
      <c r="AK467" s="46"/>
      <c r="AL467" s="46"/>
      <c r="AM467" s="46"/>
      <c r="AN467" s="46"/>
      <c r="AO467" s="46"/>
      <c r="AP467" s="46"/>
      <c r="AQ467" s="41"/>
    </row>
    <row r="468" spans="9:43" x14ac:dyDescent="0.3">
      <c r="I468" s="70">
        <f t="shared" ca="1" si="10"/>
        <v>125</v>
      </c>
      <c r="J468" s="46"/>
      <c r="K468" s="46"/>
      <c r="L468" s="46"/>
      <c r="M468" s="46"/>
      <c r="N468" s="46"/>
      <c r="O468" s="46"/>
      <c r="P468" s="46"/>
      <c r="Q468" s="46"/>
      <c r="R468" s="46"/>
      <c r="S468" s="46"/>
      <c r="T468" s="46"/>
      <c r="W468" s="46"/>
      <c r="X468" s="46"/>
      <c r="Y468" s="46"/>
      <c r="Z468" s="46"/>
      <c r="AB468" s="46"/>
      <c r="AC468" s="46"/>
      <c r="AD468" s="46"/>
      <c r="AE468" s="46"/>
      <c r="AF468" s="46"/>
      <c r="AG468" s="46"/>
      <c r="AH468" s="46"/>
      <c r="AI468" s="46"/>
      <c r="AJ468" s="46"/>
      <c r="AK468" s="46"/>
      <c r="AL468" s="46"/>
      <c r="AM468" s="46"/>
      <c r="AN468" s="46"/>
      <c r="AO468" s="46"/>
      <c r="AP468" s="46"/>
      <c r="AQ468" s="41"/>
    </row>
    <row r="469" spans="9:43" x14ac:dyDescent="0.3">
      <c r="I469" s="70">
        <f t="shared" ca="1" si="10"/>
        <v>125</v>
      </c>
      <c r="J469" s="46"/>
      <c r="K469" s="46"/>
      <c r="L469" s="46"/>
      <c r="M469" s="46"/>
      <c r="N469" s="46"/>
      <c r="O469" s="46"/>
      <c r="P469" s="46"/>
      <c r="Q469" s="46"/>
      <c r="R469" s="46"/>
      <c r="S469" s="46"/>
      <c r="T469" s="46"/>
      <c r="W469" s="46"/>
      <c r="X469" s="46"/>
      <c r="Y469" s="46"/>
      <c r="Z469" s="46"/>
      <c r="AB469" s="46"/>
      <c r="AC469" s="46"/>
      <c r="AD469" s="46"/>
      <c r="AE469" s="46"/>
      <c r="AF469" s="46"/>
      <c r="AG469" s="46"/>
      <c r="AH469" s="46"/>
      <c r="AI469" s="46"/>
      <c r="AJ469" s="46"/>
      <c r="AK469" s="46"/>
      <c r="AL469" s="46"/>
      <c r="AM469" s="46"/>
      <c r="AN469" s="46"/>
      <c r="AO469" s="46"/>
      <c r="AP469" s="46"/>
      <c r="AQ469" s="41"/>
    </row>
    <row r="470" spans="9:43" x14ac:dyDescent="0.3">
      <c r="I470" s="70">
        <f t="shared" ca="1" si="10"/>
        <v>125</v>
      </c>
      <c r="J470" s="46"/>
      <c r="K470" s="46"/>
      <c r="L470" s="46"/>
      <c r="M470" s="46"/>
      <c r="N470" s="46"/>
      <c r="O470" s="46"/>
      <c r="P470" s="46"/>
      <c r="Q470" s="46"/>
      <c r="R470" s="46"/>
      <c r="S470" s="46"/>
      <c r="T470" s="46"/>
      <c r="W470" s="46"/>
      <c r="X470" s="46"/>
      <c r="Y470" s="46"/>
      <c r="Z470" s="46"/>
      <c r="AB470" s="46"/>
      <c r="AC470" s="46"/>
      <c r="AD470" s="46"/>
      <c r="AE470" s="46"/>
      <c r="AF470" s="46"/>
      <c r="AG470" s="46"/>
      <c r="AH470" s="46"/>
      <c r="AI470" s="46"/>
      <c r="AJ470" s="46"/>
      <c r="AK470" s="46"/>
      <c r="AL470" s="46"/>
      <c r="AM470" s="46"/>
      <c r="AN470" s="46"/>
      <c r="AO470" s="46"/>
      <c r="AP470" s="46"/>
      <c r="AQ470" s="41"/>
    </row>
    <row r="471" spans="9:43" x14ac:dyDescent="0.3">
      <c r="I471" s="70">
        <f t="shared" ca="1" si="10"/>
        <v>125</v>
      </c>
      <c r="J471" s="46"/>
      <c r="K471" s="46"/>
      <c r="L471" s="46"/>
      <c r="M471" s="46"/>
      <c r="N471" s="46"/>
      <c r="O471" s="46"/>
      <c r="P471" s="46"/>
      <c r="Q471" s="46"/>
      <c r="R471" s="46"/>
      <c r="S471" s="46"/>
      <c r="T471" s="46"/>
      <c r="W471" s="46"/>
      <c r="X471" s="46"/>
      <c r="Y471" s="46"/>
      <c r="Z471" s="46"/>
      <c r="AB471" s="46"/>
      <c r="AC471" s="46"/>
      <c r="AD471" s="46"/>
      <c r="AE471" s="46"/>
      <c r="AF471" s="46"/>
      <c r="AG471" s="46"/>
      <c r="AH471" s="46"/>
      <c r="AI471" s="46"/>
      <c r="AJ471" s="46"/>
      <c r="AK471" s="46"/>
      <c r="AL471" s="46"/>
      <c r="AM471" s="46"/>
      <c r="AN471" s="46"/>
      <c r="AO471" s="46"/>
      <c r="AP471" s="46"/>
      <c r="AQ471" s="41"/>
    </row>
    <row r="472" spans="9:43" x14ac:dyDescent="0.3">
      <c r="I472" s="70">
        <f t="shared" ca="1" si="10"/>
        <v>125</v>
      </c>
      <c r="J472" s="46"/>
      <c r="K472" s="46"/>
      <c r="L472" s="46"/>
      <c r="M472" s="46"/>
      <c r="N472" s="46"/>
      <c r="O472" s="46"/>
      <c r="P472" s="46"/>
      <c r="Q472" s="46"/>
      <c r="R472" s="46"/>
      <c r="S472" s="46"/>
      <c r="T472" s="46"/>
      <c r="W472" s="46"/>
      <c r="X472" s="46"/>
      <c r="Y472" s="46"/>
      <c r="Z472" s="46"/>
      <c r="AB472" s="46"/>
      <c r="AC472" s="46"/>
      <c r="AD472" s="46"/>
      <c r="AE472" s="46"/>
      <c r="AF472" s="46"/>
      <c r="AG472" s="46"/>
      <c r="AH472" s="46"/>
      <c r="AI472" s="46"/>
      <c r="AJ472" s="46"/>
      <c r="AK472" s="46"/>
      <c r="AL472" s="46"/>
      <c r="AM472" s="46"/>
      <c r="AN472" s="46"/>
      <c r="AO472" s="46"/>
      <c r="AP472" s="46"/>
      <c r="AQ472" s="41"/>
    </row>
    <row r="473" spans="9:43" x14ac:dyDescent="0.3">
      <c r="I473" s="70">
        <f t="shared" ca="1" si="10"/>
        <v>125</v>
      </c>
      <c r="J473" s="46"/>
      <c r="K473" s="46"/>
      <c r="L473" s="46"/>
      <c r="M473" s="46"/>
      <c r="N473" s="46"/>
      <c r="O473" s="46"/>
      <c r="P473" s="46"/>
      <c r="Q473" s="46"/>
      <c r="R473" s="46"/>
      <c r="S473" s="46"/>
      <c r="T473" s="46"/>
      <c r="W473" s="46"/>
      <c r="X473" s="46"/>
      <c r="Y473" s="46"/>
      <c r="Z473" s="46"/>
      <c r="AB473" s="46"/>
      <c r="AC473" s="46"/>
      <c r="AD473" s="46"/>
      <c r="AE473" s="46"/>
      <c r="AF473" s="46"/>
      <c r="AG473" s="46"/>
      <c r="AH473" s="46"/>
      <c r="AI473" s="46"/>
      <c r="AJ473" s="46"/>
      <c r="AK473" s="46"/>
      <c r="AL473" s="46"/>
      <c r="AM473" s="46"/>
      <c r="AN473" s="46"/>
      <c r="AO473" s="46"/>
      <c r="AP473" s="46"/>
      <c r="AQ473" s="41"/>
    </row>
    <row r="474" spans="9:43" x14ac:dyDescent="0.3">
      <c r="I474" s="70">
        <f t="shared" ca="1" si="10"/>
        <v>125</v>
      </c>
      <c r="J474" s="46"/>
      <c r="K474" s="46"/>
      <c r="L474" s="46"/>
      <c r="M474" s="46"/>
      <c r="N474" s="46"/>
      <c r="O474" s="46"/>
      <c r="P474" s="46"/>
      <c r="Q474" s="46"/>
      <c r="R474" s="46"/>
      <c r="S474" s="46"/>
      <c r="T474" s="46"/>
      <c r="W474" s="46"/>
      <c r="X474" s="46"/>
      <c r="Y474" s="46"/>
      <c r="Z474" s="46"/>
      <c r="AB474" s="46"/>
      <c r="AC474" s="46"/>
      <c r="AD474" s="46"/>
      <c r="AE474" s="46"/>
      <c r="AF474" s="46"/>
      <c r="AG474" s="46"/>
      <c r="AH474" s="46"/>
      <c r="AI474" s="46"/>
      <c r="AJ474" s="46"/>
      <c r="AK474" s="46"/>
      <c r="AL474" s="46"/>
      <c r="AM474" s="46"/>
      <c r="AN474" s="46"/>
      <c r="AO474" s="46"/>
      <c r="AP474" s="46"/>
      <c r="AQ474" s="41"/>
    </row>
    <row r="475" spans="9:43" x14ac:dyDescent="0.3">
      <c r="I475" s="70">
        <f t="shared" ca="1" si="10"/>
        <v>125</v>
      </c>
      <c r="J475" s="46"/>
      <c r="K475" s="46"/>
      <c r="L475" s="46"/>
      <c r="M475" s="46"/>
      <c r="N475" s="46"/>
      <c r="O475" s="46"/>
      <c r="P475" s="46"/>
      <c r="Q475" s="46"/>
      <c r="R475" s="46"/>
      <c r="S475" s="46"/>
      <c r="T475" s="46"/>
      <c r="W475" s="46"/>
      <c r="X475" s="46"/>
      <c r="Y475" s="46"/>
      <c r="Z475" s="46"/>
      <c r="AB475" s="46"/>
      <c r="AC475" s="46"/>
      <c r="AD475" s="46"/>
      <c r="AE475" s="46"/>
      <c r="AF475" s="46"/>
      <c r="AG475" s="46"/>
      <c r="AH475" s="46"/>
      <c r="AI475" s="46"/>
      <c r="AJ475" s="46"/>
      <c r="AK475" s="46"/>
      <c r="AL475" s="46"/>
      <c r="AM475" s="46"/>
      <c r="AN475" s="46"/>
      <c r="AO475" s="46"/>
      <c r="AP475" s="46"/>
      <c r="AQ475" s="41"/>
    </row>
    <row r="476" spans="9:43" x14ac:dyDescent="0.3">
      <c r="I476" s="70">
        <f t="shared" ca="1" si="10"/>
        <v>125</v>
      </c>
      <c r="J476" s="46"/>
      <c r="K476" s="46"/>
      <c r="L476" s="46"/>
      <c r="M476" s="46"/>
      <c r="N476" s="46"/>
      <c r="O476" s="46"/>
      <c r="P476" s="46"/>
      <c r="Q476" s="46"/>
      <c r="R476" s="46"/>
      <c r="S476" s="46"/>
      <c r="T476" s="46"/>
      <c r="W476" s="46"/>
      <c r="X476" s="46"/>
      <c r="Y476" s="46"/>
      <c r="Z476" s="46"/>
      <c r="AB476" s="46"/>
      <c r="AC476" s="46"/>
      <c r="AD476" s="46"/>
      <c r="AE476" s="46"/>
      <c r="AF476" s="46"/>
      <c r="AG476" s="46"/>
      <c r="AH476" s="46"/>
      <c r="AI476" s="46"/>
      <c r="AJ476" s="46"/>
      <c r="AK476" s="46"/>
      <c r="AL476" s="46"/>
      <c r="AM476" s="46"/>
      <c r="AN476" s="46"/>
      <c r="AO476" s="46"/>
      <c r="AP476" s="46"/>
      <c r="AQ476" s="41"/>
    </row>
    <row r="477" spans="9:43" x14ac:dyDescent="0.3">
      <c r="I477" s="70">
        <f t="shared" ca="1" si="10"/>
        <v>125</v>
      </c>
      <c r="J477" s="46"/>
      <c r="K477" s="46"/>
      <c r="L477" s="46"/>
      <c r="M477" s="46"/>
      <c r="N477" s="46"/>
      <c r="O477" s="46"/>
      <c r="P477" s="46"/>
      <c r="Q477" s="46"/>
      <c r="R477" s="46"/>
      <c r="S477" s="46"/>
      <c r="T477" s="46"/>
      <c r="W477" s="46"/>
      <c r="X477" s="46"/>
      <c r="Y477" s="46"/>
      <c r="Z477" s="46"/>
      <c r="AB477" s="46"/>
      <c r="AC477" s="46"/>
      <c r="AD477" s="46"/>
      <c r="AE477" s="46"/>
      <c r="AF477" s="46"/>
      <c r="AG477" s="46"/>
      <c r="AH477" s="46"/>
      <c r="AI477" s="46"/>
      <c r="AJ477" s="46"/>
      <c r="AK477" s="46"/>
      <c r="AL477" s="46"/>
      <c r="AM477" s="46"/>
      <c r="AN477" s="46"/>
      <c r="AO477" s="46"/>
      <c r="AP477" s="46"/>
      <c r="AQ477" s="41"/>
    </row>
    <row r="478" spans="9:43" x14ac:dyDescent="0.3">
      <c r="I478" s="70">
        <f t="shared" ca="1" si="10"/>
        <v>125</v>
      </c>
      <c r="J478" s="46"/>
      <c r="K478" s="46"/>
      <c r="L478" s="46"/>
      <c r="M478" s="46"/>
      <c r="N478" s="46"/>
      <c r="O478" s="46"/>
      <c r="P478" s="46"/>
      <c r="Q478" s="46"/>
      <c r="R478" s="46"/>
      <c r="S478" s="46"/>
      <c r="T478" s="46"/>
      <c r="W478" s="46"/>
      <c r="X478" s="46"/>
      <c r="Y478" s="46"/>
      <c r="Z478" s="46"/>
      <c r="AB478" s="46"/>
      <c r="AC478" s="46"/>
      <c r="AD478" s="46"/>
      <c r="AE478" s="46"/>
      <c r="AF478" s="46"/>
      <c r="AG478" s="46"/>
      <c r="AH478" s="46"/>
      <c r="AI478" s="46"/>
      <c r="AJ478" s="46"/>
      <c r="AK478" s="46"/>
      <c r="AL478" s="46"/>
      <c r="AM478" s="46"/>
      <c r="AN478" s="46"/>
      <c r="AO478" s="46"/>
      <c r="AP478" s="46"/>
      <c r="AQ478" s="41"/>
    </row>
    <row r="479" spans="9:43" x14ac:dyDescent="0.3">
      <c r="I479" s="70">
        <f t="shared" ca="1" si="10"/>
        <v>125</v>
      </c>
      <c r="J479" s="46"/>
      <c r="K479" s="46"/>
      <c r="L479" s="46"/>
      <c r="M479" s="46"/>
      <c r="N479" s="46"/>
      <c r="O479" s="46"/>
      <c r="P479" s="46"/>
      <c r="Q479" s="46"/>
      <c r="R479" s="46"/>
      <c r="S479" s="46"/>
      <c r="T479" s="46"/>
      <c r="W479" s="46"/>
      <c r="X479" s="46"/>
      <c r="Y479" s="46"/>
      <c r="Z479" s="46"/>
      <c r="AB479" s="46"/>
      <c r="AC479" s="46"/>
      <c r="AD479" s="46"/>
      <c r="AE479" s="46"/>
      <c r="AF479" s="46"/>
      <c r="AG479" s="46"/>
      <c r="AH479" s="46"/>
      <c r="AI479" s="46"/>
      <c r="AJ479" s="46"/>
      <c r="AK479" s="46"/>
      <c r="AL479" s="46"/>
      <c r="AM479" s="46"/>
      <c r="AN479" s="46"/>
      <c r="AO479" s="46"/>
      <c r="AP479" s="46"/>
      <c r="AQ479" s="41"/>
    </row>
    <row r="480" spans="9:43" x14ac:dyDescent="0.3">
      <c r="I480" s="70">
        <f t="shared" ca="1" si="10"/>
        <v>125</v>
      </c>
      <c r="J480" s="46"/>
      <c r="K480" s="46"/>
      <c r="L480" s="46"/>
      <c r="M480" s="46"/>
      <c r="N480" s="46"/>
      <c r="O480" s="46"/>
      <c r="P480" s="46"/>
      <c r="Q480" s="46"/>
      <c r="R480" s="46"/>
      <c r="S480" s="46"/>
      <c r="T480" s="46"/>
      <c r="W480" s="46"/>
      <c r="X480" s="46"/>
      <c r="Y480" s="46"/>
      <c r="Z480" s="46"/>
      <c r="AB480" s="46"/>
      <c r="AC480" s="46"/>
      <c r="AD480" s="46"/>
      <c r="AE480" s="46"/>
      <c r="AF480" s="46"/>
      <c r="AG480" s="46"/>
      <c r="AH480" s="46"/>
      <c r="AI480" s="46"/>
      <c r="AJ480" s="46"/>
      <c r="AK480" s="46"/>
      <c r="AL480" s="46"/>
      <c r="AM480" s="46"/>
      <c r="AN480" s="46"/>
      <c r="AO480" s="46"/>
      <c r="AP480" s="46"/>
      <c r="AQ480" s="41"/>
    </row>
  </sheetData>
  <mergeCells count="10">
    <mergeCell ref="A4:A26"/>
    <mergeCell ref="AK2:AM2"/>
    <mergeCell ref="AN2:AO2"/>
    <mergeCell ref="Y1:AO1"/>
    <mergeCell ref="J2:M2"/>
    <mergeCell ref="Y2:AB2"/>
    <mergeCell ref="AC2:AE2"/>
    <mergeCell ref="AF2:AH2"/>
    <mergeCell ref="AI2:AJ2"/>
    <mergeCell ref="U2:V2"/>
  </mergeCells>
  <conditionalFormatting sqref="C23:C1048576 C19 C16:C17 C4:C8 C10:C12 C14">
    <cfRule type="duplicateValues" dxfId="167" priority="72228"/>
    <cfRule type="duplicateValues" dxfId="166" priority="72229"/>
    <cfRule type="duplicateValues" dxfId="165" priority="72244"/>
    <cfRule type="duplicateValues" dxfId="164" priority="72245"/>
    <cfRule type="duplicateValues" dxfId="163" priority="72246"/>
    <cfRule type="duplicateValues" dxfId="162" priority="72247"/>
    <cfRule type="duplicateValues" dxfId="161" priority="72248"/>
    <cfRule type="duplicateValues" dxfId="160" priority="72249"/>
    <cfRule type="duplicateValues" dxfId="159" priority="72250"/>
  </conditionalFormatting>
  <conditionalFormatting sqref="F185:F1048576 F23:F183 F19 F16:F17 F4:F14">
    <cfRule type="duplicateValues" dxfId="158" priority="72171"/>
    <cfRule type="duplicateValues" dxfId="157" priority="72174"/>
    <cfRule type="duplicateValues" dxfId="156" priority="72175"/>
    <cfRule type="duplicateValues" dxfId="155" priority="72176"/>
  </conditionalFormatting>
  <pageMargins left="0.7" right="0.7" top="0.75" bottom="0.75" header="0.3" footer="0.3"/>
  <pageSetup paperSize="9" orientation="portrait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400"/>
  <sheetViews>
    <sheetView showGridLines="0" zoomScaleNormal="100" workbookViewId="0">
      <selection activeCell="F6" sqref="F6"/>
    </sheetView>
  </sheetViews>
  <sheetFormatPr defaultRowHeight="14.4" x14ac:dyDescent="0.3"/>
  <cols>
    <col min="1" max="1" width="10.6640625" customWidth="1"/>
    <col min="2" max="2" width="17.33203125" customWidth="1"/>
    <col min="3" max="3" width="6.109375" bestFit="1" customWidth="1"/>
    <col min="4" max="4" width="12.5546875" customWidth="1"/>
    <col min="5" max="5" width="22.88671875" customWidth="1"/>
    <col min="6" max="6" width="21.5546875" customWidth="1"/>
    <col min="7" max="7" width="10.88671875" bestFit="1" customWidth="1"/>
    <col min="8" max="8" width="11.44140625" customWidth="1"/>
    <col min="9" max="9" width="6.33203125" customWidth="1"/>
    <col min="10" max="10" width="8.33203125" bestFit="1" customWidth="1"/>
    <col min="11" max="19" width="6.6640625" customWidth="1"/>
    <col min="20" max="20" width="5.88671875" bestFit="1" customWidth="1"/>
    <col min="21" max="21" width="11.5546875" customWidth="1"/>
    <col min="22" max="22" width="23.6640625" customWidth="1"/>
    <col min="23" max="23" width="11.5546875" customWidth="1"/>
    <col min="24" max="24" width="25.44140625" customWidth="1"/>
    <col min="25" max="25" width="17" customWidth="1"/>
    <col min="26" max="27" width="45.88671875" customWidth="1"/>
  </cols>
  <sheetData>
    <row r="1" spans="1:41" ht="15" thickBot="1" x14ac:dyDescent="0.35"/>
    <row r="2" spans="1:41" ht="28.5" customHeight="1" thickBot="1" x14ac:dyDescent="0.35">
      <c r="A2" s="116"/>
      <c r="B2" s="8"/>
      <c r="C2" s="117"/>
      <c r="D2" s="117"/>
      <c r="E2" s="118"/>
      <c r="F2" s="117"/>
      <c r="G2" s="117"/>
      <c r="H2" s="119"/>
      <c r="I2" s="118"/>
      <c r="J2" s="120"/>
      <c r="K2" s="486" t="s">
        <v>197</v>
      </c>
      <c r="L2" s="487"/>
      <c r="M2" s="488"/>
      <c r="N2" s="486" t="s">
        <v>198</v>
      </c>
      <c r="O2" s="487"/>
      <c r="P2" s="488"/>
      <c r="Q2" s="486" t="s">
        <v>199</v>
      </c>
      <c r="R2" s="487"/>
      <c r="S2" s="488"/>
      <c r="T2" s="122"/>
      <c r="U2" s="483" t="s">
        <v>200</v>
      </c>
      <c r="V2" s="484"/>
      <c r="W2" s="485"/>
      <c r="X2" s="480" t="s">
        <v>201</v>
      </c>
      <c r="Y2" s="481"/>
      <c r="Z2" s="482"/>
      <c r="AA2" s="92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</row>
    <row r="3" spans="1:41" ht="152.25" customHeight="1" thickBot="1" x14ac:dyDescent="0.35">
      <c r="A3" s="123" t="s">
        <v>56</v>
      </c>
      <c r="B3" s="124" t="s">
        <v>57</v>
      </c>
      <c r="C3" s="125" t="s">
        <v>58</v>
      </c>
      <c r="D3" s="125" t="s">
        <v>59</v>
      </c>
      <c r="E3" s="84" t="s">
        <v>60</v>
      </c>
      <c r="F3" s="125" t="s">
        <v>202</v>
      </c>
      <c r="G3" s="125" t="s">
        <v>62</v>
      </c>
      <c r="H3" s="126" t="s">
        <v>203</v>
      </c>
      <c r="I3" s="84" t="s">
        <v>204</v>
      </c>
      <c r="J3" s="127" t="s">
        <v>205</v>
      </c>
      <c r="K3" s="115" t="s">
        <v>206</v>
      </c>
      <c r="L3" s="86" t="s">
        <v>207</v>
      </c>
      <c r="M3" s="87" t="s">
        <v>208</v>
      </c>
      <c r="N3" s="85" t="s">
        <v>209</v>
      </c>
      <c r="O3" s="86" t="s">
        <v>207</v>
      </c>
      <c r="P3" s="87" t="s">
        <v>208</v>
      </c>
      <c r="Q3" s="85" t="s">
        <v>209</v>
      </c>
      <c r="R3" s="86" t="s">
        <v>207</v>
      </c>
      <c r="S3" s="87" t="s">
        <v>208</v>
      </c>
      <c r="T3" s="121" t="s">
        <v>210</v>
      </c>
      <c r="U3" s="88" t="s">
        <v>211</v>
      </c>
      <c r="V3" s="84" t="s">
        <v>212</v>
      </c>
      <c r="W3" s="89" t="s">
        <v>213</v>
      </c>
      <c r="X3" s="88" t="s">
        <v>214</v>
      </c>
      <c r="Y3" s="90" t="s">
        <v>215</v>
      </c>
      <c r="Z3" s="91" t="s">
        <v>216</v>
      </c>
      <c r="AA3" s="93" t="s">
        <v>91</v>
      </c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</row>
    <row r="4" spans="1:41" s="12" customFormat="1" x14ac:dyDescent="0.3">
      <c r="A4" s="477" t="s">
        <v>217</v>
      </c>
      <c r="B4" s="223">
        <v>700206419459926</v>
      </c>
      <c r="C4" s="224">
        <v>7193</v>
      </c>
      <c r="D4" s="224" t="s">
        <v>92</v>
      </c>
      <c r="E4" s="224" t="s">
        <v>218</v>
      </c>
      <c r="F4" s="224" t="s">
        <v>219</v>
      </c>
      <c r="G4" s="224" t="s">
        <v>95</v>
      </c>
      <c r="H4" s="225">
        <v>33488</v>
      </c>
      <c r="I4" s="224">
        <v>31</v>
      </c>
      <c r="J4" s="224" t="s">
        <v>114</v>
      </c>
      <c r="K4" s="226">
        <v>0</v>
      </c>
      <c r="L4" s="226">
        <v>1</v>
      </c>
      <c r="M4" s="226">
        <v>0</v>
      </c>
      <c r="N4" s="226">
        <v>1</v>
      </c>
      <c r="O4" s="226">
        <v>2</v>
      </c>
      <c r="P4" s="226">
        <v>0</v>
      </c>
      <c r="Q4" s="226">
        <v>0</v>
      </c>
      <c r="R4" s="226">
        <v>3</v>
      </c>
      <c r="S4" s="226">
        <v>0</v>
      </c>
      <c r="T4" s="226">
        <v>7</v>
      </c>
      <c r="U4" s="227">
        <v>44937</v>
      </c>
      <c r="V4" s="226" t="s">
        <v>220</v>
      </c>
      <c r="W4" s="226">
        <v>1</v>
      </c>
      <c r="X4" s="227">
        <v>44573</v>
      </c>
      <c r="Y4" s="226">
        <v>1</v>
      </c>
      <c r="Z4" s="226" t="s">
        <v>221</v>
      </c>
      <c r="AA4" s="226"/>
    </row>
    <row r="5" spans="1:41" s="12" customFormat="1" x14ac:dyDescent="0.3">
      <c r="A5" s="478"/>
      <c r="B5" s="218">
        <v>700108962243915</v>
      </c>
      <c r="C5" s="219">
        <v>7076</v>
      </c>
      <c r="D5" s="219" t="s">
        <v>92</v>
      </c>
      <c r="E5" s="219" t="s">
        <v>111</v>
      </c>
      <c r="F5" s="219" t="s">
        <v>222</v>
      </c>
      <c r="G5" s="219" t="s">
        <v>111</v>
      </c>
      <c r="H5" s="220">
        <v>33067</v>
      </c>
      <c r="I5" s="219">
        <v>32</v>
      </c>
      <c r="J5" s="219" t="s">
        <v>114</v>
      </c>
      <c r="K5" s="221">
        <v>0</v>
      </c>
      <c r="L5" s="221">
        <v>1</v>
      </c>
      <c r="M5" s="221">
        <v>0</v>
      </c>
      <c r="N5" s="221">
        <v>0</v>
      </c>
      <c r="O5" s="221">
        <v>2</v>
      </c>
      <c r="P5" s="221">
        <v>0</v>
      </c>
      <c r="Q5" s="221">
        <v>0</v>
      </c>
      <c r="R5" s="221">
        <v>1</v>
      </c>
      <c r="S5" s="221">
        <v>0</v>
      </c>
      <c r="T5" s="221">
        <v>4</v>
      </c>
      <c r="U5" s="222">
        <v>44940</v>
      </c>
      <c r="V5" s="221" t="s">
        <v>223</v>
      </c>
      <c r="W5" s="221">
        <v>1</v>
      </c>
      <c r="X5" s="222"/>
      <c r="Y5" s="221">
        <v>4</v>
      </c>
      <c r="Z5" s="221" t="s">
        <v>224</v>
      </c>
      <c r="AA5" s="221" t="s">
        <v>225</v>
      </c>
    </row>
    <row r="6" spans="1:41" s="12" customFormat="1" x14ac:dyDescent="0.3">
      <c r="A6" s="478"/>
      <c r="B6" s="218"/>
      <c r="C6" s="219">
        <v>7434</v>
      </c>
      <c r="D6" s="219" t="s">
        <v>92</v>
      </c>
      <c r="E6" s="219" t="s">
        <v>226</v>
      </c>
      <c r="F6" s="233" t="s">
        <v>227</v>
      </c>
      <c r="G6" s="219" t="s">
        <v>101</v>
      </c>
      <c r="H6" s="220">
        <v>34104</v>
      </c>
      <c r="I6" s="219">
        <v>29</v>
      </c>
      <c r="J6" s="219" t="s">
        <v>114</v>
      </c>
      <c r="K6" s="221">
        <v>1</v>
      </c>
      <c r="L6" s="221">
        <v>0</v>
      </c>
      <c r="M6" s="221">
        <v>0</v>
      </c>
      <c r="N6" s="221">
        <v>0</v>
      </c>
      <c r="O6" s="221">
        <v>2</v>
      </c>
      <c r="P6" s="221">
        <v>0</v>
      </c>
      <c r="Q6" s="221">
        <v>0</v>
      </c>
      <c r="R6" s="221">
        <v>2</v>
      </c>
      <c r="S6" s="221">
        <v>0</v>
      </c>
      <c r="T6" s="221">
        <v>5</v>
      </c>
      <c r="U6" s="222">
        <v>44947</v>
      </c>
      <c r="V6" s="221" t="s">
        <v>185</v>
      </c>
      <c r="W6" s="221">
        <v>1</v>
      </c>
      <c r="X6" s="222">
        <v>44950</v>
      </c>
      <c r="Y6" s="221">
        <v>1</v>
      </c>
      <c r="Z6" s="221" t="s">
        <v>228</v>
      </c>
      <c r="AA6" s="221" t="s">
        <v>229</v>
      </c>
    </row>
    <row r="7" spans="1:41" x14ac:dyDescent="0.3">
      <c r="A7" s="478"/>
      <c r="B7" s="217"/>
      <c r="C7" s="43"/>
      <c r="D7" s="43"/>
      <c r="E7" s="43"/>
      <c r="F7" s="43"/>
      <c r="G7" s="43"/>
      <c r="H7" s="43"/>
      <c r="I7" s="43"/>
      <c r="J7" s="43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</row>
    <row r="8" spans="1:41" x14ac:dyDescent="0.3">
      <c r="A8" s="478"/>
      <c r="B8" s="217"/>
      <c r="C8" s="43"/>
      <c r="D8" s="43"/>
      <c r="E8" s="43"/>
      <c r="F8" s="43"/>
      <c r="G8" s="43"/>
      <c r="H8" s="43"/>
      <c r="I8" s="43"/>
      <c r="J8" s="43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</row>
    <row r="9" spans="1:41" x14ac:dyDescent="0.3">
      <c r="A9" s="478"/>
      <c r="B9" s="217"/>
      <c r="C9" s="43"/>
      <c r="D9" s="43"/>
      <c r="E9" s="43"/>
      <c r="F9" s="43"/>
      <c r="G9" s="43"/>
      <c r="H9" s="43"/>
      <c r="I9" s="43"/>
      <c r="J9" s="43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</row>
    <row r="10" spans="1:41" x14ac:dyDescent="0.3">
      <c r="A10" s="478"/>
      <c r="B10" s="217"/>
      <c r="C10" s="43"/>
      <c r="D10" s="43"/>
      <c r="E10" s="43"/>
      <c r="F10" s="43"/>
      <c r="G10" s="43"/>
      <c r="H10" s="43"/>
      <c r="I10" s="43"/>
      <c r="J10" s="43"/>
      <c r="K10" s="41"/>
      <c r="L10" s="41"/>
      <c r="M10" s="41"/>
      <c r="N10" s="41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</row>
    <row r="11" spans="1:41" x14ac:dyDescent="0.3">
      <c r="A11" s="478"/>
      <c r="B11" s="217"/>
      <c r="C11" s="43"/>
      <c r="D11" s="43"/>
      <c r="E11" s="43"/>
      <c r="F11" s="43"/>
      <c r="G11" s="43"/>
      <c r="H11" s="43"/>
      <c r="I11" s="43"/>
      <c r="J11" s="43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</row>
    <row r="12" spans="1:41" x14ac:dyDescent="0.3">
      <c r="A12" s="479"/>
      <c r="B12" s="217"/>
      <c r="C12" s="43"/>
      <c r="D12" s="43"/>
      <c r="E12" s="43"/>
      <c r="F12" s="43"/>
      <c r="G12" s="43"/>
      <c r="H12" s="43"/>
      <c r="I12" s="43"/>
      <c r="J12" s="43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</row>
    <row r="13" spans="1:41" x14ac:dyDescent="0.3">
      <c r="A13" s="41"/>
      <c r="B13" s="43"/>
      <c r="C13" s="43"/>
      <c r="D13" s="43"/>
      <c r="E13" s="43"/>
      <c r="F13" s="43"/>
      <c r="G13" s="43"/>
      <c r="H13" s="43"/>
      <c r="I13" s="43"/>
      <c r="J13" s="43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41"/>
      <c r="AA13" s="41"/>
    </row>
    <row r="14" spans="1:41" x14ac:dyDescent="0.3">
      <c r="A14" s="41"/>
      <c r="B14" s="43"/>
      <c r="C14" s="43"/>
      <c r="D14" s="43"/>
      <c r="E14" s="43"/>
      <c r="F14" s="43"/>
      <c r="G14" s="43"/>
      <c r="H14" s="43"/>
      <c r="I14" s="43"/>
      <c r="J14" s="43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</row>
    <row r="15" spans="1:41" x14ac:dyDescent="0.3">
      <c r="A15" s="41"/>
      <c r="B15" s="43"/>
      <c r="C15" s="43"/>
      <c r="D15" s="43"/>
      <c r="E15" s="43"/>
      <c r="F15" s="43"/>
      <c r="G15" s="43"/>
      <c r="H15" s="43"/>
      <c r="I15" s="43"/>
      <c r="J15" s="43"/>
      <c r="K15" s="41"/>
      <c r="L15" s="41"/>
      <c r="M15" s="41"/>
      <c r="N15" s="41"/>
      <c r="O15" s="41"/>
      <c r="P15" s="41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</row>
    <row r="16" spans="1:41" x14ac:dyDescent="0.3">
      <c r="A16" s="41"/>
      <c r="B16" s="43"/>
      <c r="C16" s="43"/>
      <c r="D16" s="43"/>
      <c r="E16" s="43"/>
      <c r="F16" s="43"/>
      <c r="G16" s="43"/>
      <c r="H16" s="43"/>
      <c r="I16" s="43"/>
      <c r="J16" s="43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</row>
    <row r="17" spans="1:27" x14ac:dyDescent="0.3">
      <c r="A17" s="41"/>
      <c r="B17" s="43"/>
      <c r="C17" s="43"/>
      <c r="D17" s="43"/>
      <c r="E17" s="43"/>
      <c r="F17" s="43"/>
      <c r="G17" s="43"/>
      <c r="H17" s="43"/>
      <c r="I17" s="43"/>
      <c r="J17" s="43"/>
      <c r="K17" s="41"/>
      <c r="L17" s="41"/>
      <c r="M17" s="41"/>
      <c r="N17" s="41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  <c r="Z17" s="41"/>
      <c r="AA17" s="41"/>
    </row>
    <row r="18" spans="1:27" x14ac:dyDescent="0.3">
      <c r="A18" s="41"/>
      <c r="B18" s="43"/>
      <c r="C18" s="43"/>
      <c r="D18" s="43"/>
      <c r="E18" s="43"/>
      <c r="F18" s="43"/>
      <c r="G18" s="43"/>
      <c r="H18" s="43"/>
      <c r="I18" s="43"/>
      <c r="J18" s="43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41"/>
      <c r="AA18" s="41"/>
    </row>
    <row r="19" spans="1:27" x14ac:dyDescent="0.3">
      <c r="A19" s="41"/>
      <c r="B19" s="43"/>
      <c r="C19" s="43"/>
      <c r="D19" s="43"/>
      <c r="E19" s="43"/>
      <c r="F19" s="43"/>
      <c r="G19" s="43"/>
      <c r="H19" s="43"/>
      <c r="I19" s="43"/>
      <c r="J19" s="43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  <c r="Y19" s="41"/>
      <c r="Z19" s="41"/>
      <c r="AA19" s="41"/>
    </row>
    <row r="20" spans="1:27" x14ac:dyDescent="0.3">
      <c r="A20" s="41"/>
      <c r="B20" s="43"/>
      <c r="C20" s="43"/>
      <c r="D20" s="43"/>
      <c r="E20" s="43"/>
      <c r="F20" s="43"/>
      <c r="G20" s="43"/>
      <c r="H20" s="43"/>
      <c r="I20" s="43"/>
      <c r="J20" s="43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  <c r="Y20" s="41"/>
      <c r="Z20" s="41"/>
      <c r="AA20" s="41"/>
    </row>
    <row r="21" spans="1:27" x14ac:dyDescent="0.3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</row>
    <row r="22" spans="1:27" x14ac:dyDescent="0.3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</row>
    <row r="23" spans="1:27" x14ac:dyDescent="0.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</row>
    <row r="24" spans="1:27" x14ac:dyDescent="0.3">
      <c r="A24" s="41"/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</row>
    <row r="25" spans="1:27" x14ac:dyDescent="0.3">
      <c r="A25" s="41"/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</row>
    <row r="26" spans="1:27" x14ac:dyDescent="0.3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</row>
    <row r="27" spans="1:27" x14ac:dyDescent="0.3">
      <c r="A27" s="41"/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</row>
    <row r="28" spans="1:27" x14ac:dyDescent="0.3">
      <c r="A28" s="41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</row>
    <row r="29" spans="1:27" x14ac:dyDescent="0.3">
      <c r="A29" s="41"/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</row>
    <row r="30" spans="1:27" x14ac:dyDescent="0.3">
      <c r="A30" s="41"/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</row>
    <row r="31" spans="1:27" x14ac:dyDescent="0.3">
      <c r="A31" s="41"/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</row>
    <row r="32" spans="1:27" x14ac:dyDescent="0.3">
      <c r="A32" s="41"/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</row>
    <row r="33" spans="1:27" x14ac:dyDescent="0.3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</row>
    <row r="34" spans="1:27" x14ac:dyDescent="0.3">
      <c r="A34" s="41"/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</row>
    <row r="35" spans="1:27" x14ac:dyDescent="0.3">
      <c r="A35" s="41"/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</row>
    <row r="36" spans="1:27" x14ac:dyDescent="0.3">
      <c r="A36" s="41"/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41"/>
      <c r="AA36" s="41"/>
    </row>
    <row r="37" spans="1:27" x14ac:dyDescent="0.3">
      <c r="A37" s="41"/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</row>
    <row r="38" spans="1:27" x14ac:dyDescent="0.3">
      <c r="A38" s="41"/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</row>
    <row r="39" spans="1:27" x14ac:dyDescent="0.3">
      <c r="A39" s="41"/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</row>
    <row r="40" spans="1:27" x14ac:dyDescent="0.3">
      <c r="A40" s="41"/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</row>
    <row r="41" spans="1:27" x14ac:dyDescent="0.3">
      <c r="A41" s="41"/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  <c r="Z41" s="41"/>
      <c r="AA41" s="41"/>
    </row>
    <row r="42" spans="1:27" x14ac:dyDescent="0.3">
      <c r="A42" s="41"/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1"/>
      <c r="Y42" s="41"/>
      <c r="Z42" s="41"/>
      <c r="AA42" s="41"/>
    </row>
    <row r="43" spans="1:27" x14ac:dyDescent="0.3">
      <c r="A43" s="41"/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  <c r="Z43" s="41"/>
      <c r="AA43" s="41"/>
    </row>
    <row r="44" spans="1:27" x14ac:dyDescent="0.3">
      <c r="A44" s="41"/>
      <c r="B44" s="41"/>
      <c r="C44" s="41"/>
      <c r="D44" s="4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  <c r="Z44" s="41"/>
      <c r="AA44" s="41"/>
    </row>
    <row r="45" spans="1:27" x14ac:dyDescent="0.3">
      <c r="A45" s="41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</row>
    <row r="46" spans="1:27" x14ac:dyDescent="0.3">
      <c r="A46" s="41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</row>
    <row r="47" spans="1:27" x14ac:dyDescent="0.3">
      <c r="A47" s="41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</row>
    <row r="48" spans="1:27" x14ac:dyDescent="0.3">
      <c r="A48" s="41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</row>
    <row r="49" spans="1:27" x14ac:dyDescent="0.3">
      <c r="A49" s="41"/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</row>
    <row r="50" spans="1:27" x14ac:dyDescent="0.3">
      <c r="A50" s="41"/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</row>
    <row r="51" spans="1:27" x14ac:dyDescent="0.3">
      <c r="A51" s="41"/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</row>
    <row r="52" spans="1:27" x14ac:dyDescent="0.3">
      <c r="A52" s="41"/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</row>
    <row r="53" spans="1:27" x14ac:dyDescent="0.3">
      <c r="A53" s="41"/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</row>
    <row r="54" spans="1:27" x14ac:dyDescent="0.3">
      <c r="A54" s="41"/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</row>
    <row r="55" spans="1:27" x14ac:dyDescent="0.3">
      <c r="A55" s="41"/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</row>
    <row r="56" spans="1:27" x14ac:dyDescent="0.3">
      <c r="A56" s="41"/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</row>
    <row r="57" spans="1:27" x14ac:dyDescent="0.3">
      <c r="A57" s="41"/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</row>
    <row r="58" spans="1:27" x14ac:dyDescent="0.3">
      <c r="A58" s="41"/>
      <c r="B58" s="41"/>
      <c r="C58" s="41"/>
      <c r="D58" s="41"/>
      <c r="E58" s="41"/>
      <c r="F58" s="41"/>
      <c r="G58" s="41"/>
      <c r="H58" s="41"/>
      <c r="I58" s="41"/>
      <c r="J58" s="41"/>
      <c r="K58" s="41"/>
      <c r="L58" s="41"/>
      <c r="M58" s="41"/>
      <c r="N58" s="41"/>
      <c r="O58" s="41"/>
      <c r="P58" s="41"/>
      <c r="Q58" s="41"/>
      <c r="R58" s="41"/>
      <c r="S58" s="41"/>
      <c r="T58" s="41"/>
      <c r="U58" s="41"/>
      <c r="V58" s="41"/>
      <c r="W58" s="41"/>
      <c r="X58" s="41"/>
      <c r="Y58" s="41"/>
      <c r="Z58" s="41"/>
      <c r="AA58" s="41"/>
    </row>
    <row r="59" spans="1:27" x14ac:dyDescent="0.3">
      <c r="A59" s="41"/>
      <c r="B59" s="41"/>
      <c r="C59" s="41"/>
      <c r="D59" s="41"/>
      <c r="E59" s="41"/>
      <c r="F59" s="41"/>
      <c r="G59" s="41"/>
      <c r="H59" s="41"/>
      <c r="I59" s="41"/>
      <c r="J59" s="41"/>
      <c r="K59" s="41"/>
      <c r="L59" s="41"/>
      <c r="M59" s="41"/>
      <c r="N59" s="41"/>
      <c r="O59" s="41"/>
      <c r="P59" s="41"/>
      <c r="Q59" s="41"/>
      <c r="R59" s="41"/>
      <c r="S59" s="41"/>
      <c r="T59" s="41"/>
      <c r="U59" s="41"/>
      <c r="V59" s="41"/>
      <c r="W59" s="41"/>
      <c r="X59" s="41"/>
      <c r="Y59" s="41"/>
      <c r="Z59" s="41"/>
      <c r="AA59" s="41"/>
    </row>
    <row r="60" spans="1:27" x14ac:dyDescent="0.3">
      <c r="A60" s="41"/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</row>
    <row r="61" spans="1:27" x14ac:dyDescent="0.3">
      <c r="A61" s="41"/>
      <c r="B61" s="41"/>
      <c r="C61" s="41"/>
      <c r="D61" s="41"/>
      <c r="E61" s="41"/>
      <c r="F61" s="41"/>
      <c r="G61" s="41"/>
      <c r="H61" s="41"/>
      <c r="I61" s="41"/>
      <c r="J61" s="41"/>
      <c r="K61" s="41"/>
      <c r="L61" s="41"/>
      <c r="M61" s="41"/>
      <c r="N61" s="41"/>
      <c r="O61" s="41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  <c r="AA61" s="41"/>
    </row>
    <row r="62" spans="1:27" x14ac:dyDescent="0.3">
      <c r="A62" s="41"/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</row>
    <row r="63" spans="1:27" x14ac:dyDescent="0.3">
      <c r="A63" s="41"/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</row>
    <row r="64" spans="1:27" x14ac:dyDescent="0.3">
      <c r="A64" s="41"/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</row>
    <row r="65" spans="1:27" x14ac:dyDescent="0.3">
      <c r="A65" s="41"/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</row>
    <row r="66" spans="1:27" x14ac:dyDescent="0.3">
      <c r="A66" s="41"/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</row>
    <row r="67" spans="1:27" x14ac:dyDescent="0.3">
      <c r="A67" s="41"/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</row>
    <row r="68" spans="1:27" x14ac:dyDescent="0.3">
      <c r="A68" s="41"/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</row>
    <row r="69" spans="1:27" x14ac:dyDescent="0.3">
      <c r="A69" s="41"/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</row>
    <row r="70" spans="1:27" x14ac:dyDescent="0.3">
      <c r="A70" s="41"/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</row>
    <row r="71" spans="1:27" x14ac:dyDescent="0.3">
      <c r="A71" s="41"/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</row>
    <row r="72" spans="1:27" x14ac:dyDescent="0.3">
      <c r="A72" s="41"/>
      <c r="B72" s="41"/>
      <c r="C72" s="41"/>
      <c r="D72" s="41"/>
      <c r="E72" s="41"/>
      <c r="F72" s="41"/>
      <c r="G72" s="41"/>
      <c r="H72" s="41"/>
      <c r="I72" s="41"/>
      <c r="J72" s="41"/>
      <c r="K72" s="41"/>
      <c r="L72" s="41"/>
      <c r="M72" s="41"/>
      <c r="N72" s="41"/>
      <c r="O72" s="41"/>
      <c r="P72" s="41"/>
      <c r="Q72" s="41"/>
      <c r="R72" s="41"/>
      <c r="S72" s="41"/>
      <c r="T72" s="41"/>
      <c r="U72" s="41"/>
      <c r="V72" s="41"/>
      <c r="W72" s="41"/>
      <c r="X72" s="41"/>
      <c r="Y72" s="41"/>
      <c r="Z72" s="41"/>
      <c r="AA72" s="41"/>
    </row>
    <row r="73" spans="1:27" x14ac:dyDescent="0.3">
      <c r="A73" s="41"/>
      <c r="B73" s="41"/>
      <c r="C73" s="41"/>
      <c r="D73" s="41"/>
      <c r="E73" s="41"/>
      <c r="F73" s="41"/>
      <c r="G73" s="41"/>
      <c r="H73" s="41"/>
      <c r="I73" s="41"/>
      <c r="J73" s="41"/>
      <c r="K73" s="41"/>
      <c r="L73" s="41"/>
      <c r="M73" s="41"/>
      <c r="N73" s="41"/>
      <c r="O73" s="41"/>
      <c r="P73" s="41"/>
      <c r="Q73" s="41"/>
      <c r="R73" s="41"/>
      <c r="S73" s="41"/>
      <c r="T73" s="41"/>
      <c r="U73" s="41"/>
      <c r="V73" s="41"/>
      <c r="W73" s="41"/>
      <c r="X73" s="41"/>
      <c r="Y73" s="41"/>
      <c r="Z73" s="41"/>
      <c r="AA73" s="41"/>
    </row>
    <row r="74" spans="1:27" x14ac:dyDescent="0.3">
      <c r="A74" s="41"/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1"/>
      <c r="Q74" s="41"/>
      <c r="R74" s="41"/>
      <c r="S74" s="41"/>
      <c r="T74" s="41"/>
      <c r="U74" s="41"/>
      <c r="V74" s="41"/>
      <c r="W74" s="41"/>
      <c r="X74" s="41"/>
      <c r="Y74" s="41"/>
      <c r="Z74" s="41"/>
      <c r="AA74" s="41"/>
    </row>
    <row r="75" spans="1:27" x14ac:dyDescent="0.3">
      <c r="A75" s="41"/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  <c r="P75" s="41"/>
      <c r="Q75" s="41"/>
      <c r="R75" s="41"/>
      <c r="S75" s="41"/>
      <c r="T75" s="41"/>
      <c r="U75" s="41"/>
      <c r="V75" s="41"/>
      <c r="W75" s="41"/>
      <c r="X75" s="41"/>
      <c r="Y75" s="41"/>
      <c r="Z75" s="41"/>
      <c r="AA75" s="41"/>
    </row>
    <row r="76" spans="1:27" x14ac:dyDescent="0.3">
      <c r="A76" s="41"/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  <c r="P76" s="41"/>
      <c r="Q76" s="41"/>
      <c r="R76" s="41"/>
      <c r="S76" s="41"/>
      <c r="T76" s="41"/>
      <c r="U76" s="41"/>
      <c r="V76" s="41"/>
      <c r="W76" s="41"/>
      <c r="X76" s="41"/>
      <c r="Y76" s="41"/>
      <c r="Z76" s="41"/>
      <c r="AA76" s="41"/>
    </row>
    <row r="77" spans="1:27" x14ac:dyDescent="0.3">
      <c r="A77" s="41"/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  <c r="P77" s="41"/>
      <c r="Q77" s="41"/>
      <c r="R77" s="41"/>
      <c r="S77" s="41"/>
      <c r="T77" s="41"/>
      <c r="U77" s="41"/>
      <c r="V77" s="41"/>
      <c r="W77" s="41"/>
      <c r="X77" s="41"/>
      <c r="Y77" s="41"/>
      <c r="Z77" s="41"/>
      <c r="AA77" s="41"/>
    </row>
    <row r="78" spans="1:27" x14ac:dyDescent="0.3">
      <c r="A78" s="41"/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  <c r="P78" s="41"/>
      <c r="Q78" s="41"/>
      <c r="R78" s="41"/>
      <c r="S78" s="41"/>
      <c r="T78" s="41"/>
      <c r="U78" s="41"/>
      <c r="V78" s="41"/>
      <c r="W78" s="41"/>
      <c r="X78" s="41"/>
      <c r="Y78" s="41"/>
      <c r="Z78" s="41"/>
      <c r="AA78" s="41"/>
    </row>
    <row r="79" spans="1:27" x14ac:dyDescent="0.3">
      <c r="A79" s="41"/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  <c r="P79" s="41"/>
      <c r="Q79" s="41"/>
      <c r="R79" s="41"/>
      <c r="S79" s="41"/>
      <c r="T79" s="41"/>
      <c r="U79" s="41"/>
      <c r="V79" s="41"/>
      <c r="W79" s="41"/>
      <c r="X79" s="41"/>
      <c r="Y79" s="41"/>
      <c r="Z79" s="41"/>
      <c r="AA79" s="41"/>
    </row>
    <row r="80" spans="1:27" x14ac:dyDescent="0.3">
      <c r="A80" s="41"/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  <c r="P80" s="41"/>
      <c r="Q80" s="41"/>
      <c r="R80" s="41"/>
      <c r="S80" s="41"/>
      <c r="T80" s="41"/>
      <c r="U80" s="41"/>
      <c r="V80" s="41"/>
      <c r="W80" s="41"/>
      <c r="X80" s="41"/>
      <c r="Y80" s="41"/>
      <c r="Z80" s="41"/>
      <c r="AA80" s="41"/>
    </row>
    <row r="81" spans="1:27" x14ac:dyDescent="0.3">
      <c r="A81" s="41"/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  <c r="P81" s="41"/>
      <c r="Q81" s="41"/>
      <c r="R81" s="41"/>
      <c r="S81" s="41"/>
      <c r="T81" s="41"/>
      <c r="U81" s="41"/>
      <c r="V81" s="41"/>
      <c r="W81" s="41"/>
      <c r="X81" s="41"/>
      <c r="Y81" s="41"/>
      <c r="Z81" s="41"/>
      <c r="AA81" s="41"/>
    </row>
    <row r="82" spans="1:27" x14ac:dyDescent="0.3">
      <c r="A82" s="41"/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  <c r="P82" s="41"/>
      <c r="Q82" s="41"/>
      <c r="R82" s="41"/>
      <c r="S82" s="41"/>
      <c r="T82" s="41"/>
      <c r="U82" s="41"/>
      <c r="V82" s="41"/>
      <c r="W82" s="41"/>
      <c r="X82" s="41"/>
      <c r="Y82" s="41"/>
      <c r="Z82" s="41"/>
      <c r="AA82" s="41"/>
    </row>
    <row r="83" spans="1:27" x14ac:dyDescent="0.3">
      <c r="A83" s="41"/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  <c r="P83" s="41"/>
      <c r="Q83" s="41"/>
      <c r="R83" s="41"/>
      <c r="S83" s="41"/>
      <c r="T83" s="41"/>
      <c r="U83" s="41"/>
      <c r="V83" s="41"/>
      <c r="W83" s="41"/>
      <c r="X83" s="41"/>
      <c r="Y83" s="41"/>
      <c r="Z83" s="41"/>
      <c r="AA83" s="41"/>
    </row>
    <row r="84" spans="1:27" x14ac:dyDescent="0.3">
      <c r="A84" s="41"/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  <c r="P84" s="41"/>
      <c r="Q84" s="41"/>
      <c r="R84" s="41"/>
      <c r="S84" s="41"/>
      <c r="T84" s="41"/>
      <c r="U84" s="41"/>
      <c r="V84" s="41"/>
      <c r="W84" s="41"/>
      <c r="X84" s="41"/>
      <c r="Y84" s="41"/>
      <c r="Z84" s="41"/>
      <c r="AA84" s="41"/>
    </row>
    <row r="85" spans="1:27" x14ac:dyDescent="0.3">
      <c r="A85" s="41"/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  <c r="M85" s="41"/>
      <c r="N85" s="41"/>
      <c r="O85" s="41"/>
      <c r="P85" s="41"/>
      <c r="Q85" s="41"/>
      <c r="R85" s="41"/>
      <c r="S85" s="41"/>
      <c r="T85" s="41"/>
      <c r="U85" s="41"/>
      <c r="V85" s="41"/>
      <c r="W85" s="41"/>
      <c r="X85" s="41"/>
      <c r="Y85" s="41"/>
      <c r="Z85" s="41"/>
      <c r="AA85" s="41"/>
    </row>
    <row r="86" spans="1:27" x14ac:dyDescent="0.3">
      <c r="A86" s="41"/>
      <c r="B86" s="41"/>
      <c r="C86" s="41"/>
      <c r="D86" s="41"/>
      <c r="E86" s="41"/>
      <c r="F86" s="41"/>
      <c r="G86" s="41"/>
      <c r="H86" s="41"/>
      <c r="I86" s="41"/>
      <c r="J86" s="41"/>
      <c r="K86" s="41"/>
      <c r="L86" s="41"/>
      <c r="M86" s="41"/>
      <c r="N86" s="41"/>
      <c r="O86" s="41"/>
      <c r="P86" s="41"/>
      <c r="Q86" s="41"/>
      <c r="R86" s="41"/>
      <c r="S86" s="41"/>
      <c r="T86" s="41"/>
      <c r="U86" s="41"/>
      <c r="V86" s="41"/>
      <c r="W86" s="41"/>
      <c r="X86" s="41"/>
      <c r="Y86" s="41"/>
      <c r="Z86" s="41"/>
      <c r="AA86" s="41"/>
    </row>
    <row r="87" spans="1:27" x14ac:dyDescent="0.3">
      <c r="A87" s="41"/>
      <c r="B87" s="41"/>
      <c r="C87" s="41"/>
      <c r="D87" s="41"/>
      <c r="E87" s="41"/>
      <c r="F87" s="41"/>
      <c r="G87" s="41"/>
      <c r="H87" s="41"/>
      <c r="I87" s="41"/>
      <c r="J87" s="41"/>
      <c r="K87" s="41"/>
      <c r="L87" s="41"/>
      <c r="M87" s="41"/>
      <c r="N87" s="41"/>
      <c r="O87" s="41"/>
      <c r="P87" s="41"/>
      <c r="Q87" s="41"/>
      <c r="R87" s="41"/>
      <c r="S87" s="41"/>
      <c r="T87" s="41"/>
      <c r="U87" s="41"/>
      <c r="V87" s="41"/>
      <c r="W87" s="41"/>
      <c r="X87" s="41"/>
      <c r="Y87" s="41"/>
      <c r="Z87" s="41"/>
      <c r="AA87" s="41"/>
    </row>
    <row r="88" spans="1:27" x14ac:dyDescent="0.3">
      <c r="A88" s="41"/>
      <c r="B88" s="41"/>
      <c r="C88" s="41"/>
      <c r="D88" s="41"/>
      <c r="E88" s="41"/>
      <c r="F88" s="41"/>
      <c r="G88" s="41"/>
      <c r="H88" s="41"/>
      <c r="I88" s="41"/>
      <c r="J88" s="41"/>
      <c r="K88" s="41"/>
      <c r="L88" s="41"/>
      <c r="M88" s="41"/>
      <c r="N88" s="41"/>
      <c r="O88" s="41"/>
      <c r="P88" s="41"/>
      <c r="Q88" s="41"/>
      <c r="R88" s="41"/>
      <c r="S88" s="41"/>
      <c r="T88" s="41"/>
      <c r="U88" s="41"/>
      <c r="V88" s="41"/>
      <c r="W88" s="41"/>
      <c r="X88" s="41"/>
      <c r="Y88" s="41"/>
      <c r="Z88" s="41"/>
      <c r="AA88" s="41"/>
    </row>
    <row r="89" spans="1:27" x14ac:dyDescent="0.3">
      <c r="A89" s="41"/>
      <c r="B89" s="41"/>
      <c r="C89" s="41"/>
      <c r="D89" s="41"/>
      <c r="E89" s="41"/>
      <c r="F89" s="41"/>
      <c r="G89" s="41"/>
      <c r="H89" s="41"/>
      <c r="I89" s="41"/>
      <c r="J89" s="41"/>
      <c r="K89" s="41"/>
      <c r="L89" s="41"/>
      <c r="M89" s="41"/>
      <c r="N89" s="41"/>
      <c r="O89" s="41"/>
      <c r="P89" s="41"/>
      <c r="Q89" s="41"/>
      <c r="R89" s="41"/>
      <c r="S89" s="41"/>
      <c r="T89" s="41"/>
      <c r="U89" s="41"/>
      <c r="V89" s="41"/>
      <c r="W89" s="41"/>
      <c r="X89" s="41"/>
      <c r="Y89" s="41"/>
      <c r="Z89" s="41"/>
      <c r="AA89" s="41"/>
    </row>
    <row r="90" spans="1:27" x14ac:dyDescent="0.3">
      <c r="A90" s="41"/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  <c r="R90" s="41"/>
      <c r="S90" s="41"/>
      <c r="T90" s="41"/>
      <c r="U90" s="41"/>
      <c r="V90" s="41"/>
      <c r="W90" s="41"/>
      <c r="X90" s="41"/>
      <c r="Y90" s="41"/>
      <c r="Z90" s="41"/>
      <c r="AA90" s="41"/>
    </row>
    <row r="91" spans="1:27" x14ac:dyDescent="0.3">
      <c r="A91" s="41"/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  <c r="R91" s="41"/>
      <c r="S91" s="41"/>
      <c r="T91" s="41"/>
      <c r="U91" s="41"/>
      <c r="V91" s="41"/>
      <c r="W91" s="41"/>
      <c r="X91" s="41"/>
      <c r="Y91" s="41"/>
      <c r="Z91" s="41"/>
      <c r="AA91" s="41"/>
    </row>
    <row r="92" spans="1:27" x14ac:dyDescent="0.3">
      <c r="A92" s="41"/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  <c r="R92" s="41"/>
      <c r="S92" s="41"/>
      <c r="T92" s="41"/>
      <c r="U92" s="41"/>
      <c r="V92" s="41"/>
      <c r="W92" s="41"/>
      <c r="X92" s="41"/>
      <c r="Y92" s="41"/>
      <c r="Z92" s="41"/>
      <c r="AA92" s="41"/>
    </row>
    <row r="93" spans="1:27" x14ac:dyDescent="0.3">
      <c r="A93" s="41"/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  <c r="R93" s="41"/>
      <c r="S93" s="41"/>
      <c r="T93" s="41"/>
      <c r="U93" s="41"/>
      <c r="V93" s="41"/>
      <c r="W93" s="41"/>
      <c r="X93" s="41"/>
      <c r="Y93" s="41"/>
      <c r="Z93" s="41"/>
      <c r="AA93" s="41"/>
    </row>
    <row r="94" spans="1:27" x14ac:dyDescent="0.3">
      <c r="A94" s="41"/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  <c r="R94" s="41"/>
      <c r="S94" s="41"/>
      <c r="T94" s="41"/>
      <c r="U94" s="41"/>
      <c r="V94" s="41"/>
      <c r="W94" s="41"/>
      <c r="X94" s="41"/>
      <c r="Y94" s="41"/>
      <c r="Z94" s="41"/>
      <c r="AA94" s="41"/>
    </row>
    <row r="95" spans="1:27" x14ac:dyDescent="0.3">
      <c r="A95" s="41"/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  <c r="R95" s="41"/>
      <c r="S95" s="41"/>
      <c r="T95" s="41"/>
      <c r="U95" s="41"/>
      <c r="V95" s="41"/>
      <c r="W95" s="41"/>
      <c r="X95" s="41"/>
      <c r="Y95" s="41"/>
      <c r="Z95" s="41"/>
      <c r="AA95" s="41"/>
    </row>
    <row r="96" spans="1:27" x14ac:dyDescent="0.3">
      <c r="A96" s="41"/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  <c r="R96" s="41"/>
      <c r="S96" s="41"/>
      <c r="T96" s="41"/>
      <c r="U96" s="41"/>
      <c r="V96" s="41"/>
      <c r="W96" s="41"/>
      <c r="X96" s="41"/>
      <c r="Y96" s="41"/>
      <c r="Z96" s="41"/>
      <c r="AA96" s="41"/>
    </row>
    <row r="97" spans="1:27" x14ac:dyDescent="0.3">
      <c r="A97" s="41"/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  <c r="R97" s="41"/>
      <c r="S97" s="41"/>
      <c r="T97" s="41"/>
      <c r="U97" s="41"/>
      <c r="V97" s="41"/>
      <c r="W97" s="41"/>
      <c r="X97" s="41"/>
      <c r="Y97" s="41"/>
      <c r="Z97" s="41"/>
      <c r="AA97" s="41"/>
    </row>
    <row r="98" spans="1:27" x14ac:dyDescent="0.3">
      <c r="A98" s="41"/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  <c r="R98" s="41"/>
      <c r="S98" s="41"/>
      <c r="T98" s="41"/>
      <c r="U98" s="41"/>
      <c r="V98" s="41"/>
      <c r="W98" s="41"/>
      <c r="X98" s="41"/>
      <c r="Y98" s="41"/>
      <c r="Z98" s="41"/>
      <c r="AA98" s="41"/>
    </row>
    <row r="99" spans="1:27" x14ac:dyDescent="0.3">
      <c r="A99" s="41"/>
      <c r="B99" s="41"/>
      <c r="C99" s="41"/>
      <c r="D99" s="41"/>
      <c r="E99" s="41"/>
      <c r="F99" s="41"/>
      <c r="G99" s="41"/>
      <c r="H99" s="41"/>
      <c r="I99" s="41"/>
      <c r="J99" s="41"/>
      <c r="K99" s="41"/>
      <c r="L99" s="41"/>
      <c r="M99" s="41"/>
      <c r="N99" s="41"/>
      <c r="O99" s="41"/>
      <c r="P99" s="41"/>
      <c r="Q99" s="41"/>
      <c r="R99" s="41"/>
      <c r="S99" s="41"/>
      <c r="T99" s="41"/>
      <c r="U99" s="41"/>
      <c r="V99" s="41"/>
      <c r="W99" s="41"/>
      <c r="X99" s="41"/>
      <c r="Y99" s="41"/>
      <c r="Z99" s="41"/>
      <c r="AA99" s="41"/>
    </row>
    <row r="100" spans="1:27" x14ac:dyDescent="0.3">
      <c r="A100" s="41"/>
      <c r="B100" s="41"/>
      <c r="C100" s="41"/>
      <c r="D100" s="41"/>
      <c r="E100" s="41"/>
      <c r="F100" s="41"/>
      <c r="G100" s="41"/>
      <c r="H100" s="41"/>
      <c r="I100" s="41"/>
      <c r="J100" s="41"/>
      <c r="K100" s="41"/>
      <c r="L100" s="41"/>
      <c r="M100" s="41"/>
      <c r="N100" s="41"/>
      <c r="O100" s="41"/>
      <c r="P100" s="41"/>
      <c r="Q100" s="41"/>
      <c r="R100" s="41"/>
      <c r="S100" s="41"/>
      <c r="T100" s="41"/>
      <c r="U100" s="41"/>
      <c r="V100" s="41"/>
      <c r="W100" s="41"/>
      <c r="X100" s="41"/>
      <c r="Y100" s="41"/>
      <c r="Z100" s="41"/>
      <c r="AA100" s="41"/>
    </row>
    <row r="101" spans="1:27" x14ac:dyDescent="0.3">
      <c r="A101" s="41"/>
      <c r="B101" s="41"/>
      <c r="C101" s="41"/>
      <c r="D101" s="41"/>
      <c r="E101" s="41"/>
      <c r="F101" s="41"/>
      <c r="G101" s="41"/>
      <c r="H101" s="41"/>
      <c r="I101" s="41"/>
      <c r="J101" s="41"/>
      <c r="K101" s="41"/>
      <c r="L101" s="41"/>
      <c r="M101" s="41"/>
      <c r="N101" s="41"/>
      <c r="O101" s="41"/>
      <c r="P101" s="41"/>
      <c r="Q101" s="41"/>
      <c r="R101" s="41"/>
      <c r="S101" s="41"/>
      <c r="T101" s="41"/>
      <c r="U101" s="41"/>
      <c r="V101" s="41"/>
      <c r="W101" s="41"/>
      <c r="X101" s="41"/>
      <c r="Y101" s="41"/>
      <c r="Z101" s="41"/>
      <c r="AA101" s="41"/>
    </row>
    <row r="102" spans="1:27" x14ac:dyDescent="0.3">
      <c r="A102" s="41"/>
      <c r="B102" s="41"/>
      <c r="C102" s="41"/>
      <c r="D102" s="41"/>
      <c r="E102" s="41"/>
      <c r="F102" s="41"/>
      <c r="G102" s="41"/>
      <c r="H102" s="41"/>
      <c r="I102" s="41"/>
      <c r="J102" s="41"/>
      <c r="K102" s="41"/>
      <c r="L102" s="41"/>
      <c r="M102" s="41"/>
      <c r="N102" s="41"/>
      <c r="O102" s="41"/>
      <c r="P102" s="41"/>
      <c r="Q102" s="41"/>
      <c r="R102" s="41"/>
      <c r="S102" s="41"/>
      <c r="T102" s="41"/>
      <c r="U102" s="41"/>
      <c r="V102" s="41"/>
      <c r="W102" s="41"/>
      <c r="X102" s="41"/>
      <c r="Y102" s="41"/>
      <c r="Z102" s="41"/>
      <c r="AA102" s="41"/>
    </row>
    <row r="103" spans="1:27" x14ac:dyDescent="0.3">
      <c r="A103" s="41"/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  <c r="R103" s="41"/>
      <c r="S103" s="41"/>
      <c r="T103" s="41"/>
      <c r="U103" s="41"/>
      <c r="V103" s="41"/>
      <c r="W103" s="41"/>
      <c r="X103" s="41"/>
      <c r="Y103" s="41"/>
      <c r="Z103" s="41"/>
      <c r="AA103" s="41"/>
    </row>
    <row r="104" spans="1:27" x14ac:dyDescent="0.3">
      <c r="A104" s="41"/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  <c r="R104" s="41"/>
      <c r="S104" s="41"/>
      <c r="T104" s="41"/>
      <c r="U104" s="41"/>
      <c r="V104" s="41"/>
      <c r="W104" s="41"/>
      <c r="X104" s="41"/>
      <c r="Y104" s="41"/>
      <c r="Z104" s="41"/>
      <c r="AA104" s="41"/>
    </row>
    <row r="105" spans="1:27" x14ac:dyDescent="0.3">
      <c r="A105" s="41"/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  <c r="R105" s="41"/>
      <c r="S105" s="41"/>
      <c r="T105" s="41"/>
      <c r="U105" s="41"/>
      <c r="V105" s="41"/>
      <c r="W105" s="41"/>
      <c r="X105" s="41"/>
      <c r="Y105" s="41"/>
      <c r="Z105" s="41"/>
      <c r="AA105" s="41"/>
    </row>
    <row r="106" spans="1:27" x14ac:dyDescent="0.3">
      <c r="A106" s="41"/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  <c r="R106" s="41"/>
      <c r="S106" s="41"/>
      <c r="T106" s="41"/>
      <c r="U106" s="41"/>
      <c r="V106" s="41"/>
      <c r="W106" s="41"/>
      <c r="X106" s="41"/>
      <c r="Y106" s="41"/>
      <c r="Z106" s="41"/>
      <c r="AA106" s="41"/>
    </row>
    <row r="107" spans="1:27" x14ac:dyDescent="0.3">
      <c r="A107" s="41"/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  <c r="R107" s="41"/>
      <c r="S107" s="41"/>
      <c r="T107" s="41"/>
      <c r="U107" s="41"/>
      <c r="V107" s="41"/>
      <c r="W107" s="41"/>
      <c r="X107" s="41"/>
      <c r="Y107" s="41"/>
      <c r="Z107" s="41"/>
      <c r="AA107" s="41"/>
    </row>
    <row r="108" spans="1:27" x14ac:dyDescent="0.3">
      <c r="A108" s="41"/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  <c r="R108" s="41"/>
      <c r="S108" s="41"/>
      <c r="T108" s="41"/>
      <c r="U108" s="41"/>
      <c r="V108" s="41"/>
      <c r="W108" s="41"/>
      <c r="X108" s="41"/>
      <c r="Y108" s="41"/>
      <c r="Z108" s="41"/>
      <c r="AA108" s="41"/>
    </row>
    <row r="109" spans="1:27" x14ac:dyDescent="0.3">
      <c r="A109" s="41"/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  <c r="R109" s="41"/>
      <c r="S109" s="41"/>
      <c r="T109" s="41"/>
      <c r="U109" s="41"/>
      <c r="V109" s="41"/>
      <c r="W109" s="41"/>
      <c r="X109" s="41"/>
      <c r="Y109" s="41"/>
      <c r="Z109" s="41"/>
      <c r="AA109" s="41"/>
    </row>
    <row r="110" spans="1:27" x14ac:dyDescent="0.3">
      <c r="A110" s="41"/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  <c r="R110" s="41"/>
      <c r="S110" s="41"/>
      <c r="T110" s="41"/>
      <c r="U110" s="41"/>
      <c r="V110" s="41"/>
      <c r="W110" s="41"/>
      <c r="X110" s="41"/>
      <c r="Y110" s="41"/>
      <c r="Z110" s="41"/>
      <c r="AA110" s="41"/>
    </row>
    <row r="111" spans="1:27" x14ac:dyDescent="0.3">
      <c r="A111" s="41"/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  <c r="R111" s="41"/>
      <c r="S111" s="41"/>
      <c r="T111" s="41"/>
      <c r="U111" s="41"/>
      <c r="V111" s="41"/>
      <c r="W111" s="41"/>
      <c r="X111" s="41"/>
      <c r="Y111" s="41"/>
      <c r="Z111" s="41"/>
      <c r="AA111" s="41"/>
    </row>
    <row r="112" spans="1:27" x14ac:dyDescent="0.3">
      <c r="A112" s="41"/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  <c r="R112" s="41"/>
      <c r="S112" s="41"/>
      <c r="T112" s="41"/>
      <c r="U112" s="41"/>
      <c r="V112" s="41"/>
      <c r="W112" s="41"/>
      <c r="X112" s="41"/>
      <c r="Y112" s="41"/>
      <c r="Z112" s="41"/>
      <c r="AA112" s="41"/>
    </row>
    <row r="113" spans="1:27" x14ac:dyDescent="0.3">
      <c r="A113" s="41"/>
      <c r="B113" s="41"/>
      <c r="C113" s="41"/>
      <c r="D113" s="41"/>
      <c r="E113" s="41"/>
      <c r="F113" s="41"/>
      <c r="G113" s="41"/>
      <c r="H113" s="41"/>
      <c r="I113" s="41"/>
      <c r="J113" s="41"/>
      <c r="K113" s="41"/>
      <c r="L113" s="41"/>
      <c r="M113" s="41"/>
      <c r="N113" s="41"/>
      <c r="O113" s="41"/>
      <c r="P113" s="41"/>
      <c r="Q113" s="41"/>
      <c r="R113" s="41"/>
      <c r="S113" s="41"/>
      <c r="T113" s="41"/>
      <c r="U113" s="41"/>
      <c r="V113" s="41"/>
      <c r="W113" s="41"/>
      <c r="X113" s="41"/>
      <c r="Y113" s="41"/>
      <c r="Z113" s="41"/>
      <c r="AA113" s="41"/>
    </row>
    <row r="114" spans="1:27" x14ac:dyDescent="0.3">
      <c r="A114" s="41"/>
      <c r="B114" s="41"/>
      <c r="C114" s="41"/>
      <c r="D114" s="41"/>
      <c r="E114" s="41"/>
      <c r="F114" s="41"/>
      <c r="G114" s="41"/>
      <c r="H114" s="41"/>
      <c r="I114" s="41"/>
      <c r="J114" s="41"/>
      <c r="K114" s="41"/>
      <c r="L114" s="41"/>
      <c r="M114" s="41"/>
      <c r="N114" s="41"/>
      <c r="O114" s="41"/>
      <c r="P114" s="41"/>
      <c r="Q114" s="41"/>
      <c r="R114" s="41"/>
      <c r="S114" s="41"/>
      <c r="T114" s="41"/>
      <c r="U114" s="41"/>
      <c r="V114" s="41"/>
      <c r="W114" s="41"/>
      <c r="X114" s="41"/>
      <c r="Y114" s="41"/>
      <c r="Z114" s="41"/>
      <c r="AA114" s="41"/>
    </row>
    <row r="115" spans="1:27" x14ac:dyDescent="0.3">
      <c r="A115" s="41"/>
      <c r="B115" s="41"/>
      <c r="C115" s="41"/>
      <c r="D115" s="41"/>
      <c r="E115" s="41"/>
      <c r="F115" s="41"/>
      <c r="G115" s="41"/>
      <c r="H115" s="41"/>
      <c r="I115" s="41"/>
      <c r="J115" s="41"/>
      <c r="K115" s="41"/>
      <c r="L115" s="41"/>
      <c r="M115" s="41"/>
      <c r="N115" s="41"/>
      <c r="O115" s="41"/>
      <c r="P115" s="41"/>
      <c r="Q115" s="41"/>
      <c r="R115" s="41"/>
      <c r="S115" s="41"/>
      <c r="T115" s="41"/>
      <c r="U115" s="41"/>
      <c r="V115" s="41"/>
      <c r="W115" s="41"/>
      <c r="X115" s="41"/>
      <c r="Y115" s="41"/>
      <c r="Z115" s="41"/>
      <c r="AA115" s="41"/>
    </row>
    <row r="116" spans="1:27" x14ac:dyDescent="0.3">
      <c r="A116" s="41"/>
      <c r="B116" s="41"/>
      <c r="C116" s="41"/>
      <c r="D116" s="41"/>
      <c r="E116" s="41"/>
      <c r="F116" s="41"/>
      <c r="G116" s="41"/>
      <c r="H116" s="41"/>
      <c r="I116" s="41"/>
      <c r="J116" s="41"/>
      <c r="K116" s="41"/>
      <c r="L116" s="41"/>
      <c r="M116" s="41"/>
      <c r="N116" s="41"/>
      <c r="O116" s="41"/>
      <c r="P116" s="41"/>
      <c r="Q116" s="41"/>
      <c r="R116" s="41"/>
      <c r="S116" s="41"/>
      <c r="T116" s="41"/>
      <c r="U116" s="41"/>
      <c r="V116" s="41"/>
      <c r="W116" s="41"/>
      <c r="X116" s="41"/>
      <c r="Y116" s="41"/>
      <c r="Z116" s="41"/>
      <c r="AA116" s="41"/>
    </row>
    <row r="117" spans="1:27" x14ac:dyDescent="0.3">
      <c r="A117" s="41"/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  <c r="R117" s="41"/>
      <c r="S117" s="41"/>
      <c r="T117" s="41"/>
      <c r="U117" s="41"/>
      <c r="V117" s="41"/>
      <c r="W117" s="41"/>
      <c r="X117" s="41"/>
      <c r="Y117" s="41"/>
      <c r="Z117" s="41"/>
      <c r="AA117" s="41"/>
    </row>
    <row r="118" spans="1:27" x14ac:dyDescent="0.3">
      <c r="A118" s="41"/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  <c r="R118" s="41"/>
      <c r="S118" s="41"/>
      <c r="T118" s="41"/>
      <c r="U118" s="41"/>
      <c r="V118" s="41"/>
      <c r="W118" s="41"/>
      <c r="X118" s="41"/>
      <c r="Y118" s="41"/>
      <c r="Z118" s="41"/>
      <c r="AA118" s="41"/>
    </row>
    <row r="119" spans="1:27" x14ac:dyDescent="0.3">
      <c r="A119" s="41"/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  <c r="R119" s="41"/>
      <c r="S119" s="41"/>
      <c r="T119" s="41"/>
      <c r="U119" s="41"/>
      <c r="V119" s="41"/>
      <c r="W119" s="41"/>
      <c r="X119" s="41"/>
      <c r="Y119" s="41"/>
      <c r="Z119" s="41"/>
      <c r="AA119" s="41"/>
    </row>
    <row r="120" spans="1:27" x14ac:dyDescent="0.3">
      <c r="A120" s="41"/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  <c r="R120" s="41"/>
      <c r="S120" s="41"/>
      <c r="T120" s="41"/>
      <c r="U120" s="41"/>
      <c r="V120" s="41"/>
      <c r="W120" s="41"/>
      <c r="X120" s="41"/>
      <c r="Y120" s="41"/>
      <c r="Z120" s="41"/>
      <c r="AA120" s="41"/>
    </row>
    <row r="121" spans="1:27" x14ac:dyDescent="0.3">
      <c r="A121" s="41"/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  <c r="R121" s="41"/>
      <c r="S121" s="41"/>
      <c r="T121" s="41"/>
      <c r="U121" s="41"/>
      <c r="V121" s="41"/>
      <c r="W121" s="41"/>
      <c r="X121" s="41"/>
      <c r="Y121" s="41"/>
      <c r="Z121" s="41"/>
      <c r="AA121" s="41"/>
    </row>
    <row r="122" spans="1:27" x14ac:dyDescent="0.3">
      <c r="A122" s="41"/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  <c r="R122" s="41"/>
      <c r="S122" s="41"/>
      <c r="T122" s="41"/>
      <c r="U122" s="41"/>
      <c r="V122" s="41"/>
      <c r="W122" s="41"/>
      <c r="X122" s="41"/>
      <c r="Y122" s="41"/>
      <c r="Z122" s="41"/>
      <c r="AA122" s="41"/>
    </row>
    <row r="123" spans="1:27" x14ac:dyDescent="0.3">
      <c r="A123" s="41"/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  <c r="R123" s="41"/>
      <c r="S123" s="41"/>
      <c r="T123" s="41"/>
      <c r="U123" s="41"/>
      <c r="V123" s="41"/>
      <c r="W123" s="41"/>
      <c r="X123" s="41"/>
      <c r="Y123" s="41"/>
      <c r="Z123" s="41"/>
      <c r="AA123" s="41"/>
    </row>
    <row r="124" spans="1:27" x14ac:dyDescent="0.3">
      <c r="A124" s="41"/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  <c r="R124" s="41"/>
      <c r="S124" s="41"/>
      <c r="T124" s="41"/>
      <c r="U124" s="41"/>
      <c r="V124" s="41"/>
      <c r="W124" s="41"/>
      <c r="X124" s="41"/>
      <c r="Y124" s="41"/>
      <c r="Z124" s="41"/>
      <c r="AA124" s="41"/>
    </row>
    <row r="125" spans="1:27" x14ac:dyDescent="0.3">
      <c r="A125" s="41"/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  <c r="R125" s="41"/>
      <c r="S125" s="41"/>
      <c r="T125" s="41"/>
      <c r="U125" s="41"/>
      <c r="V125" s="41"/>
      <c r="W125" s="41"/>
      <c r="X125" s="41"/>
      <c r="Y125" s="41"/>
      <c r="Z125" s="41"/>
      <c r="AA125" s="41"/>
    </row>
    <row r="126" spans="1:27" x14ac:dyDescent="0.3">
      <c r="A126" s="41"/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  <c r="R126" s="41"/>
      <c r="S126" s="41"/>
      <c r="T126" s="41"/>
      <c r="U126" s="41"/>
      <c r="V126" s="41"/>
      <c r="W126" s="41"/>
      <c r="X126" s="41"/>
      <c r="Y126" s="41"/>
      <c r="Z126" s="41"/>
      <c r="AA126" s="41"/>
    </row>
    <row r="127" spans="1:27" x14ac:dyDescent="0.3">
      <c r="A127" s="41"/>
      <c r="B127" s="41"/>
      <c r="C127" s="41"/>
      <c r="D127" s="41"/>
      <c r="E127" s="41"/>
      <c r="F127" s="41"/>
      <c r="G127" s="41"/>
      <c r="H127" s="41"/>
      <c r="I127" s="41"/>
      <c r="J127" s="41"/>
      <c r="K127" s="41"/>
      <c r="L127" s="41"/>
      <c r="M127" s="41"/>
      <c r="N127" s="41"/>
      <c r="O127" s="41"/>
      <c r="P127" s="41"/>
      <c r="Q127" s="41"/>
      <c r="R127" s="41"/>
      <c r="S127" s="41"/>
      <c r="T127" s="41"/>
      <c r="U127" s="41"/>
      <c r="V127" s="41"/>
      <c r="W127" s="41"/>
      <c r="X127" s="41"/>
      <c r="Y127" s="41"/>
      <c r="Z127" s="41"/>
      <c r="AA127" s="41"/>
    </row>
    <row r="128" spans="1:27" x14ac:dyDescent="0.3">
      <c r="A128" s="41"/>
      <c r="B128" s="41"/>
      <c r="C128" s="41"/>
      <c r="D128" s="41"/>
      <c r="E128" s="41"/>
      <c r="F128" s="41"/>
      <c r="G128" s="41"/>
      <c r="H128" s="41"/>
      <c r="I128" s="41"/>
      <c r="J128" s="41"/>
      <c r="K128" s="41"/>
      <c r="L128" s="41"/>
      <c r="M128" s="41"/>
      <c r="N128" s="41"/>
      <c r="O128" s="41"/>
      <c r="P128" s="41"/>
      <c r="Q128" s="41"/>
      <c r="R128" s="41"/>
      <c r="S128" s="41"/>
      <c r="T128" s="41"/>
      <c r="U128" s="41"/>
      <c r="V128" s="41"/>
      <c r="W128" s="41"/>
      <c r="X128" s="41"/>
      <c r="Y128" s="41"/>
      <c r="Z128" s="41"/>
      <c r="AA128" s="41"/>
    </row>
    <row r="129" spans="1:27" x14ac:dyDescent="0.3">
      <c r="A129" s="41"/>
      <c r="B129" s="41"/>
      <c r="C129" s="41"/>
      <c r="D129" s="41"/>
      <c r="E129" s="41"/>
      <c r="F129" s="41"/>
      <c r="G129" s="41"/>
      <c r="H129" s="41"/>
      <c r="I129" s="41"/>
      <c r="J129" s="41"/>
      <c r="K129" s="41"/>
      <c r="L129" s="41"/>
      <c r="M129" s="41"/>
      <c r="N129" s="41"/>
      <c r="O129" s="41"/>
      <c r="P129" s="41"/>
      <c r="Q129" s="41"/>
      <c r="R129" s="41"/>
      <c r="S129" s="41"/>
      <c r="T129" s="41"/>
      <c r="U129" s="41"/>
      <c r="V129" s="41"/>
      <c r="W129" s="41"/>
      <c r="X129" s="41"/>
      <c r="Y129" s="41"/>
      <c r="Z129" s="41"/>
      <c r="AA129" s="41"/>
    </row>
    <row r="130" spans="1:27" x14ac:dyDescent="0.3">
      <c r="A130" s="41"/>
      <c r="B130" s="41"/>
      <c r="C130" s="41"/>
      <c r="D130" s="41"/>
      <c r="E130" s="41"/>
      <c r="F130" s="41"/>
      <c r="G130" s="41"/>
      <c r="H130" s="41"/>
      <c r="I130" s="41"/>
      <c r="J130" s="41"/>
      <c r="K130" s="41"/>
      <c r="L130" s="41"/>
      <c r="M130" s="41"/>
      <c r="N130" s="41"/>
      <c r="O130" s="41"/>
      <c r="P130" s="41"/>
      <c r="Q130" s="41"/>
      <c r="R130" s="41"/>
      <c r="S130" s="41"/>
      <c r="T130" s="41"/>
      <c r="U130" s="41"/>
      <c r="V130" s="41"/>
      <c r="W130" s="41"/>
      <c r="X130" s="41"/>
      <c r="Y130" s="41"/>
      <c r="Z130" s="41"/>
      <c r="AA130" s="41"/>
    </row>
    <row r="131" spans="1:27" x14ac:dyDescent="0.3">
      <c r="A131" s="41"/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  <c r="V131" s="41"/>
      <c r="W131" s="41"/>
      <c r="X131" s="41"/>
      <c r="Y131" s="41"/>
      <c r="Z131" s="41"/>
      <c r="AA131" s="41"/>
    </row>
    <row r="132" spans="1:27" x14ac:dyDescent="0.3">
      <c r="A132" s="41"/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  <c r="V132" s="41"/>
      <c r="W132" s="41"/>
      <c r="X132" s="41"/>
      <c r="Y132" s="41"/>
      <c r="Z132" s="41"/>
      <c r="AA132" s="41"/>
    </row>
    <row r="133" spans="1:27" x14ac:dyDescent="0.3">
      <c r="A133" s="41"/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  <c r="V133" s="41"/>
      <c r="W133" s="41"/>
      <c r="X133" s="41"/>
      <c r="Y133" s="41"/>
      <c r="Z133" s="41"/>
      <c r="AA133" s="41"/>
    </row>
    <row r="134" spans="1:27" x14ac:dyDescent="0.3">
      <c r="A134" s="41"/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  <c r="V134" s="41"/>
      <c r="W134" s="41"/>
      <c r="X134" s="41"/>
      <c r="Y134" s="41"/>
      <c r="Z134" s="41"/>
      <c r="AA134" s="41"/>
    </row>
    <row r="135" spans="1:27" x14ac:dyDescent="0.3">
      <c r="A135" s="41"/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  <c r="V135" s="41"/>
      <c r="W135" s="41"/>
      <c r="X135" s="41"/>
      <c r="Y135" s="41"/>
      <c r="Z135" s="41"/>
      <c r="AA135" s="41"/>
    </row>
    <row r="136" spans="1:27" x14ac:dyDescent="0.3">
      <c r="A136" s="41"/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  <c r="V136" s="41"/>
      <c r="W136" s="41"/>
      <c r="X136" s="41"/>
      <c r="Y136" s="41"/>
      <c r="Z136" s="41"/>
      <c r="AA136" s="41"/>
    </row>
    <row r="137" spans="1:27" x14ac:dyDescent="0.3">
      <c r="A137" s="41"/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  <c r="V137" s="41"/>
      <c r="W137" s="41"/>
      <c r="X137" s="41"/>
      <c r="Y137" s="41"/>
      <c r="Z137" s="41"/>
      <c r="AA137" s="41"/>
    </row>
    <row r="138" spans="1:27" x14ac:dyDescent="0.3">
      <c r="A138" s="41"/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  <c r="V138" s="41"/>
      <c r="W138" s="41"/>
      <c r="X138" s="41"/>
      <c r="Y138" s="41"/>
      <c r="Z138" s="41"/>
      <c r="AA138" s="41"/>
    </row>
    <row r="139" spans="1:27" x14ac:dyDescent="0.3">
      <c r="A139" s="41"/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  <c r="V139" s="41"/>
      <c r="W139" s="41"/>
      <c r="X139" s="41"/>
      <c r="Y139" s="41"/>
      <c r="Z139" s="41"/>
      <c r="AA139" s="41"/>
    </row>
    <row r="140" spans="1:27" x14ac:dyDescent="0.3">
      <c r="A140" s="41"/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  <c r="V140" s="41"/>
      <c r="W140" s="41"/>
      <c r="X140" s="41"/>
      <c r="Y140" s="41"/>
      <c r="Z140" s="41"/>
      <c r="AA140" s="41"/>
    </row>
    <row r="141" spans="1:27" x14ac:dyDescent="0.3">
      <c r="A141" s="41"/>
      <c r="B141" s="41"/>
      <c r="C141" s="41"/>
      <c r="D141" s="41"/>
      <c r="E141" s="41"/>
      <c r="F141" s="41"/>
      <c r="G141" s="41"/>
      <c r="H141" s="41"/>
      <c r="I141" s="41"/>
      <c r="J141" s="41"/>
      <c r="K141" s="41"/>
      <c r="L141" s="41"/>
      <c r="M141" s="41"/>
      <c r="N141" s="41"/>
      <c r="O141" s="41"/>
      <c r="P141" s="41"/>
      <c r="Q141" s="41"/>
      <c r="R141" s="41"/>
      <c r="S141" s="41"/>
      <c r="T141" s="41"/>
      <c r="U141" s="41"/>
      <c r="V141" s="41"/>
      <c r="W141" s="41"/>
      <c r="X141" s="41"/>
      <c r="Y141" s="41"/>
      <c r="Z141" s="41"/>
      <c r="AA141" s="41"/>
    </row>
    <row r="142" spans="1:27" x14ac:dyDescent="0.3">
      <c r="A142" s="41"/>
      <c r="B142" s="41"/>
      <c r="C142" s="41"/>
      <c r="D142" s="41"/>
      <c r="E142" s="41"/>
      <c r="F142" s="41"/>
      <c r="G142" s="41"/>
      <c r="H142" s="41"/>
      <c r="I142" s="41"/>
      <c r="J142" s="41"/>
      <c r="K142" s="41"/>
      <c r="L142" s="41"/>
      <c r="M142" s="41"/>
      <c r="N142" s="41"/>
      <c r="O142" s="41"/>
      <c r="P142" s="41"/>
      <c r="Q142" s="41"/>
      <c r="R142" s="41"/>
      <c r="S142" s="41"/>
      <c r="T142" s="41"/>
      <c r="U142" s="41"/>
      <c r="V142" s="41"/>
      <c r="W142" s="41"/>
      <c r="X142" s="41"/>
      <c r="Y142" s="41"/>
      <c r="Z142" s="41"/>
      <c r="AA142" s="41"/>
    </row>
    <row r="143" spans="1:27" x14ac:dyDescent="0.3">
      <c r="A143" s="41"/>
      <c r="B143" s="41"/>
      <c r="C143" s="41"/>
      <c r="D143" s="41"/>
      <c r="E143" s="41"/>
      <c r="F143" s="41"/>
      <c r="G143" s="41"/>
      <c r="H143" s="41"/>
      <c r="I143" s="41"/>
      <c r="J143" s="41"/>
      <c r="K143" s="41"/>
      <c r="L143" s="41"/>
      <c r="M143" s="41"/>
      <c r="N143" s="41"/>
      <c r="O143" s="41"/>
      <c r="P143" s="41"/>
      <c r="Q143" s="41"/>
      <c r="R143" s="41"/>
      <c r="S143" s="41"/>
      <c r="T143" s="41"/>
      <c r="U143" s="41"/>
      <c r="V143" s="41"/>
      <c r="W143" s="41"/>
      <c r="X143" s="41"/>
      <c r="Y143" s="41"/>
      <c r="Z143" s="41"/>
      <c r="AA143" s="41"/>
    </row>
    <row r="144" spans="1:27" x14ac:dyDescent="0.3">
      <c r="A144" s="41"/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  <c r="V144" s="41"/>
      <c r="W144" s="41"/>
      <c r="X144" s="41"/>
      <c r="Y144" s="41"/>
      <c r="Z144" s="41"/>
      <c r="AA144" s="41"/>
    </row>
    <row r="145" spans="1:27" x14ac:dyDescent="0.3">
      <c r="A145" s="41"/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  <c r="V145" s="41"/>
      <c r="W145" s="41"/>
      <c r="X145" s="41"/>
      <c r="Y145" s="41"/>
      <c r="Z145" s="41"/>
      <c r="AA145" s="41"/>
    </row>
    <row r="146" spans="1:27" x14ac:dyDescent="0.3">
      <c r="A146" s="41"/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  <c r="V146" s="41"/>
      <c r="W146" s="41"/>
      <c r="X146" s="41"/>
      <c r="Y146" s="41"/>
      <c r="Z146" s="41"/>
      <c r="AA146" s="41"/>
    </row>
    <row r="147" spans="1:27" x14ac:dyDescent="0.3">
      <c r="A147" s="41"/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  <c r="V147" s="41"/>
      <c r="W147" s="41"/>
      <c r="X147" s="41"/>
      <c r="Y147" s="41"/>
      <c r="Z147" s="41"/>
      <c r="AA147" s="41"/>
    </row>
    <row r="148" spans="1:27" x14ac:dyDescent="0.3">
      <c r="A148" s="41"/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  <c r="V148" s="41"/>
      <c r="W148" s="41"/>
      <c r="X148" s="41"/>
      <c r="Y148" s="41"/>
      <c r="Z148" s="41"/>
      <c r="AA148" s="41"/>
    </row>
    <row r="149" spans="1:27" x14ac:dyDescent="0.3">
      <c r="A149" s="41"/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  <c r="V149" s="41"/>
      <c r="W149" s="41"/>
      <c r="X149" s="41"/>
      <c r="Y149" s="41"/>
      <c r="Z149" s="41"/>
      <c r="AA149" s="41"/>
    </row>
    <row r="150" spans="1:27" x14ac:dyDescent="0.3">
      <c r="A150" s="41"/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  <c r="V150" s="41"/>
      <c r="W150" s="41"/>
      <c r="X150" s="41"/>
      <c r="Y150" s="41"/>
      <c r="Z150" s="41"/>
      <c r="AA150" s="41"/>
    </row>
    <row r="151" spans="1:27" x14ac:dyDescent="0.3">
      <c r="A151" s="41"/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  <c r="V151" s="41"/>
      <c r="W151" s="41"/>
      <c r="X151" s="41"/>
      <c r="Y151" s="41"/>
      <c r="Z151" s="41"/>
      <c r="AA151" s="41"/>
    </row>
    <row r="152" spans="1:27" x14ac:dyDescent="0.3">
      <c r="A152" s="41"/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  <c r="V152" s="41"/>
      <c r="W152" s="41"/>
      <c r="X152" s="41"/>
      <c r="Y152" s="41"/>
      <c r="Z152" s="41"/>
      <c r="AA152" s="41"/>
    </row>
    <row r="153" spans="1:27" x14ac:dyDescent="0.3">
      <c r="A153" s="41"/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  <c r="V153" s="41"/>
      <c r="W153" s="41"/>
      <c r="X153" s="41"/>
      <c r="Y153" s="41"/>
      <c r="Z153" s="41"/>
      <c r="AA153" s="41"/>
    </row>
    <row r="154" spans="1:27" x14ac:dyDescent="0.3">
      <c r="A154" s="41"/>
      <c r="B154" s="41"/>
      <c r="C154" s="41"/>
      <c r="D154" s="41"/>
      <c r="E154" s="41"/>
      <c r="F154" s="41"/>
      <c r="G154" s="41"/>
      <c r="H154" s="41"/>
      <c r="I154" s="41"/>
      <c r="J154" s="41"/>
      <c r="K154" s="41"/>
      <c r="L154" s="41"/>
      <c r="M154" s="41"/>
      <c r="N154" s="41"/>
      <c r="O154" s="41"/>
      <c r="P154" s="41"/>
      <c r="Q154" s="41"/>
      <c r="R154" s="41"/>
      <c r="S154" s="41"/>
      <c r="T154" s="41"/>
      <c r="U154" s="41"/>
      <c r="V154" s="41"/>
      <c r="W154" s="41"/>
      <c r="X154" s="41"/>
      <c r="Y154" s="41"/>
      <c r="Z154" s="41"/>
      <c r="AA154" s="41"/>
    </row>
    <row r="155" spans="1:27" x14ac:dyDescent="0.3">
      <c r="A155" s="41"/>
      <c r="B155" s="41"/>
      <c r="C155" s="41"/>
      <c r="D155" s="41"/>
      <c r="E155" s="41"/>
      <c r="F155" s="41"/>
      <c r="G155" s="41"/>
      <c r="H155" s="41"/>
      <c r="I155" s="41"/>
      <c r="J155" s="41"/>
      <c r="K155" s="41"/>
      <c r="L155" s="41"/>
      <c r="M155" s="41"/>
      <c r="N155" s="41"/>
      <c r="O155" s="41"/>
      <c r="P155" s="41"/>
      <c r="Q155" s="41"/>
      <c r="R155" s="41"/>
      <c r="S155" s="41"/>
      <c r="T155" s="41"/>
      <c r="U155" s="41"/>
      <c r="V155" s="41"/>
      <c r="W155" s="41"/>
      <c r="X155" s="41"/>
      <c r="Y155" s="41"/>
      <c r="Z155" s="41"/>
      <c r="AA155" s="41"/>
    </row>
    <row r="156" spans="1:27" x14ac:dyDescent="0.3">
      <c r="A156" s="41"/>
      <c r="B156" s="41"/>
      <c r="C156" s="41"/>
      <c r="D156" s="41"/>
      <c r="E156" s="41"/>
      <c r="F156" s="41"/>
      <c r="G156" s="41"/>
      <c r="H156" s="41"/>
      <c r="I156" s="41"/>
      <c r="J156" s="41"/>
      <c r="K156" s="41"/>
      <c r="L156" s="41"/>
      <c r="M156" s="41"/>
      <c r="N156" s="41"/>
      <c r="O156" s="41"/>
      <c r="P156" s="41"/>
      <c r="Q156" s="41"/>
      <c r="R156" s="41"/>
      <c r="S156" s="41"/>
      <c r="T156" s="41"/>
      <c r="U156" s="41"/>
      <c r="V156" s="41"/>
      <c r="W156" s="41"/>
      <c r="X156" s="41"/>
      <c r="Y156" s="41"/>
      <c r="Z156" s="41"/>
      <c r="AA156" s="41"/>
    </row>
    <row r="157" spans="1:27" x14ac:dyDescent="0.3">
      <c r="A157" s="41"/>
      <c r="B157" s="41"/>
      <c r="C157" s="41"/>
      <c r="D157" s="41"/>
      <c r="E157" s="41"/>
      <c r="F157" s="41"/>
      <c r="G157" s="41"/>
      <c r="H157" s="41"/>
      <c r="I157" s="41"/>
      <c r="J157" s="41"/>
      <c r="K157" s="41"/>
      <c r="L157" s="41"/>
      <c r="M157" s="41"/>
      <c r="N157" s="41"/>
      <c r="O157" s="41"/>
      <c r="P157" s="41"/>
      <c r="Q157" s="41"/>
      <c r="R157" s="41"/>
      <c r="S157" s="41"/>
      <c r="T157" s="41"/>
      <c r="U157" s="41"/>
      <c r="V157" s="41"/>
      <c r="W157" s="41"/>
      <c r="X157" s="41"/>
      <c r="Y157" s="41"/>
      <c r="Z157" s="41"/>
      <c r="AA157" s="41"/>
    </row>
    <row r="158" spans="1:27" x14ac:dyDescent="0.3">
      <c r="A158" s="41"/>
      <c r="B158" s="41"/>
      <c r="C158" s="41"/>
      <c r="D158" s="41"/>
      <c r="E158" s="41"/>
      <c r="F158" s="41"/>
      <c r="G158" s="41"/>
      <c r="H158" s="41"/>
      <c r="I158" s="41"/>
      <c r="J158" s="41"/>
      <c r="K158" s="41"/>
      <c r="L158" s="41"/>
      <c r="M158" s="41"/>
      <c r="N158" s="41"/>
      <c r="O158" s="41"/>
      <c r="P158" s="41"/>
      <c r="Q158" s="41"/>
      <c r="R158" s="41"/>
      <c r="S158" s="41"/>
      <c r="T158" s="41"/>
      <c r="U158" s="41"/>
      <c r="V158" s="41"/>
      <c r="W158" s="41"/>
      <c r="X158" s="41"/>
      <c r="Y158" s="41"/>
      <c r="Z158" s="41"/>
      <c r="AA158" s="41"/>
    </row>
    <row r="159" spans="1:27" x14ac:dyDescent="0.3">
      <c r="A159" s="41"/>
      <c r="B159" s="41"/>
      <c r="C159" s="41"/>
      <c r="D159" s="41"/>
      <c r="E159" s="41"/>
      <c r="F159" s="41"/>
      <c r="G159" s="41"/>
      <c r="H159" s="41"/>
      <c r="I159" s="41"/>
      <c r="J159" s="41"/>
      <c r="K159" s="41"/>
      <c r="L159" s="41"/>
      <c r="M159" s="41"/>
      <c r="N159" s="41"/>
      <c r="O159" s="41"/>
      <c r="P159" s="41"/>
      <c r="Q159" s="41"/>
      <c r="R159" s="41"/>
      <c r="S159" s="41"/>
      <c r="T159" s="41"/>
      <c r="U159" s="41"/>
      <c r="V159" s="41"/>
      <c r="W159" s="41"/>
      <c r="X159" s="41"/>
      <c r="Y159" s="41"/>
      <c r="Z159" s="41"/>
      <c r="AA159" s="41"/>
    </row>
    <row r="160" spans="1:27" x14ac:dyDescent="0.3">
      <c r="A160" s="41"/>
      <c r="B160" s="41"/>
      <c r="C160" s="41"/>
      <c r="D160" s="41"/>
      <c r="E160" s="41"/>
      <c r="F160" s="41"/>
      <c r="G160" s="41"/>
      <c r="H160" s="41"/>
      <c r="I160" s="41"/>
      <c r="J160" s="41"/>
      <c r="K160" s="41"/>
      <c r="L160" s="41"/>
      <c r="M160" s="41"/>
      <c r="N160" s="41"/>
      <c r="O160" s="41"/>
      <c r="P160" s="41"/>
      <c r="Q160" s="41"/>
      <c r="R160" s="41"/>
      <c r="S160" s="41"/>
      <c r="T160" s="41"/>
      <c r="U160" s="41"/>
      <c r="V160" s="41"/>
      <c r="W160" s="41"/>
      <c r="X160" s="41"/>
      <c r="Y160" s="41"/>
      <c r="Z160" s="41"/>
      <c r="AA160" s="41"/>
    </row>
    <row r="161" spans="1:27" x14ac:dyDescent="0.3">
      <c r="A161" s="41"/>
      <c r="B161" s="41"/>
      <c r="C161" s="41"/>
      <c r="D161" s="41"/>
      <c r="E161" s="41"/>
      <c r="F161" s="41"/>
      <c r="G161" s="41"/>
      <c r="H161" s="41"/>
      <c r="I161" s="41"/>
      <c r="J161" s="41"/>
      <c r="K161" s="41"/>
      <c r="L161" s="41"/>
      <c r="M161" s="41"/>
      <c r="N161" s="41"/>
      <c r="O161" s="41"/>
      <c r="P161" s="41"/>
      <c r="Q161" s="41"/>
      <c r="R161" s="41"/>
      <c r="S161" s="41"/>
      <c r="T161" s="41"/>
      <c r="U161" s="41"/>
      <c r="V161" s="41"/>
      <c r="W161" s="41"/>
      <c r="X161" s="41"/>
      <c r="Y161" s="41"/>
      <c r="Z161" s="41"/>
      <c r="AA161" s="41"/>
    </row>
    <row r="162" spans="1:27" x14ac:dyDescent="0.3">
      <c r="A162" s="41"/>
      <c r="B162" s="41"/>
      <c r="C162" s="41"/>
      <c r="D162" s="41"/>
      <c r="E162" s="41"/>
      <c r="F162" s="41"/>
      <c r="G162" s="41"/>
      <c r="H162" s="41"/>
      <c r="I162" s="41"/>
      <c r="J162" s="41"/>
      <c r="K162" s="41"/>
      <c r="L162" s="41"/>
      <c r="M162" s="41"/>
      <c r="N162" s="41"/>
      <c r="O162" s="41"/>
      <c r="P162" s="41"/>
      <c r="Q162" s="41"/>
      <c r="R162" s="41"/>
      <c r="S162" s="41"/>
      <c r="T162" s="41"/>
      <c r="U162" s="41"/>
      <c r="V162" s="41"/>
      <c r="W162" s="41"/>
      <c r="X162" s="41"/>
      <c r="Y162" s="41"/>
      <c r="Z162" s="41"/>
      <c r="AA162" s="41"/>
    </row>
    <row r="163" spans="1:27" x14ac:dyDescent="0.3">
      <c r="A163" s="41"/>
      <c r="B163" s="41"/>
      <c r="C163" s="41"/>
      <c r="D163" s="41"/>
      <c r="E163" s="41"/>
      <c r="F163" s="41"/>
      <c r="G163" s="41"/>
      <c r="H163" s="41"/>
      <c r="I163" s="41"/>
      <c r="J163" s="41"/>
      <c r="K163" s="41"/>
      <c r="L163" s="41"/>
      <c r="M163" s="41"/>
      <c r="N163" s="41"/>
      <c r="O163" s="41"/>
      <c r="P163" s="41"/>
      <c r="Q163" s="41"/>
      <c r="R163" s="41"/>
      <c r="S163" s="41"/>
      <c r="T163" s="41"/>
      <c r="U163" s="41"/>
      <c r="V163" s="41"/>
      <c r="W163" s="41"/>
      <c r="X163" s="41"/>
      <c r="Y163" s="41"/>
      <c r="Z163" s="41"/>
      <c r="AA163" s="41"/>
    </row>
    <row r="164" spans="1:27" x14ac:dyDescent="0.3">
      <c r="A164" s="41"/>
      <c r="B164" s="41"/>
      <c r="C164" s="41"/>
      <c r="D164" s="41"/>
      <c r="E164" s="41"/>
      <c r="F164" s="41"/>
      <c r="G164" s="41"/>
      <c r="H164" s="41"/>
      <c r="I164" s="41"/>
      <c r="J164" s="41"/>
      <c r="K164" s="41"/>
      <c r="L164" s="41"/>
      <c r="M164" s="41"/>
      <c r="N164" s="41"/>
      <c r="O164" s="41"/>
      <c r="P164" s="41"/>
      <c r="Q164" s="41"/>
      <c r="R164" s="41"/>
      <c r="S164" s="41"/>
      <c r="T164" s="41"/>
      <c r="U164" s="41"/>
      <c r="V164" s="41"/>
      <c r="W164" s="41"/>
      <c r="X164" s="41"/>
      <c r="Y164" s="41"/>
      <c r="Z164" s="41"/>
      <c r="AA164" s="41"/>
    </row>
    <row r="165" spans="1:27" x14ac:dyDescent="0.3">
      <c r="A165" s="41"/>
      <c r="B165" s="41"/>
      <c r="C165" s="41"/>
      <c r="D165" s="41"/>
      <c r="E165" s="41"/>
      <c r="F165" s="41"/>
      <c r="G165" s="41"/>
      <c r="H165" s="41"/>
      <c r="I165" s="41"/>
      <c r="J165" s="41"/>
      <c r="K165" s="41"/>
      <c r="L165" s="41"/>
      <c r="M165" s="41"/>
      <c r="N165" s="41"/>
      <c r="O165" s="41"/>
      <c r="P165" s="41"/>
      <c r="Q165" s="41"/>
      <c r="R165" s="41"/>
      <c r="S165" s="41"/>
      <c r="T165" s="41"/>
      <c r="U165" s="41"/>
      <c r="V165" s="41"/>
      <c r="W165" s="41"/>
      <c r="X165" s="41"/>
      <c r="Y165" s="41"/>
      <c r="Z165" s="41"/>
      <c r="AA165" s="41"/>
    </row>
    <row r="166" spans="1:27" x14ac:dyDescent="0.3">
      <c r="A166" s="41"/>
      <c r="B166" s="41"/>
      <c r="C166" s="41"/>
      <c r="D166" s="41"/>
      <c r="E166" s="41"/>
      <c r="F166" s="41"/>
      <c r="G166" s="41"/>
      <c r="H166" s="41"/>
      <c r="I166" s="41"/>
      <c r="J166" s="41"/>
      <c r="K166" s="41"/>
      <c r="L166" s="41"/>
      <c r="M166" s="41"/>
      <c r="N166" s="41"/>
      <c r="O166" s="41"/>
      <c r="P166" s="41"/>
      <c r="Q166" s="41"/>
      <c r="R166" s="41"/>
      <c r="S166" s="41"/>
      <c r="T166" s="41"/>
      <c r="U166" s="41"/>
      <c r="V166" s="41"/>
      <c r="W166" s="41"/>
      <c r="X166" s="41"/>
      <c r="Y166" s="41"/>
      <c r="Z166" s="41"/>
      <c r="AA166" s="41"/>
    </row>
    <row r="167" spans="1:27" x14ac:dyDescent="0.3">
      <c r="A167" s="41"/>
      <c r="B167" s="41"/>
      <c r="C167" s="41"/>
      <c r="D167" s="41"/>
      <c r="E167" s="41"/>
      <c r="F167" s="41"/>
      <c r="G167" s="41"/>
      <c r="H167" s="41"/>
      <c r="I167" s="41"/>
      <c r="J167" s="41"/>
      <c r="K167" s="41"/>
      <c r="L167" s="41"/>
      <c r="M167" s="41"/>
      <c r="N167" s="41"/>
      <c r="O167" s="41"/>
      <c r="P167" s="41"/>
      <c r="Q167" s="41"/>
      <c r="R167" s="41"/>
      <c r="S167" s="41"/>
      <c r="T167" s="41"/>
      <c r="U167" s="41"/>
      <c r="V167" s="41"/>
      <c r="W167" s="41"/>
      <c r="X167" s="41"/>
      <c r="Y167" s="41"/>
      <c r="Z167" s="41"/>
      <c r="AA167" s="41"/>
    </row>
    <row r="168" spans="1:27" x14ac:dyDescent="0.3">
      <c r="A168" s="41"/>
      <c r="B168" s="41"/>
      <c r="C168" s="41"/>
      <c r="D168" s="41"/>
      <c r="E168" s="41"/>
      <c r="F168" s="41"/>
      <c r="G168" s="41"/>
      <c r="H168" s="41"/>
      <c r="I168" s="41"/>
      <c r="J168" s="41"/>
      <c r="K168" s="41"/>
      <c r="L168" s="41"/>
      <c r="M168" s="41"/>
      <c r="N168" s="41"/>
      <c r="O168" s="41"/>
      <c r="P168" s="41"/>
      <c r="Q168" s="41"/>
      <c r="R168" s="41"/>
      <c r="S168" s="41"/>
      <c r="T168" s="41"/>
      <c r="U168" s="41"/>
      <c r="V168" s="41"/>
      <c r="W168" s="41"/>
      <c r="X168" s="41"/>
      <c r="Y168" s="41"/>
      <c r="Z168" s="41"/>
      <c r="AA168" s="41"/>
    </row>
    <row r="169" spans="1:27" x14ac:dyDescent="0.3">
      <c r="A169" s="41"/>
      <c r="B169" s="41"/>
      <c r="C169" s="41"/>
      <c r="D169" s="41"/>
      <c r="E169" s="41"/>
      <c r="F169" s="41"/>
      <c r="G169" s="41"/>
      <c r="H169" s="41"/>
      <c r="I169" s="41"/>
      <c r="J169" s="41"/>
      <c r="K169" s="41"/>
      <c r="L169" s="41"/>
      <c r="M169" s="41"/>
      <c r="N169" s="41"/>
      <c r="O169" s="41"/>
      <c r="P169" s="41"/>
      <c r="Q169" s="41"/>
      <c r="R169" s="41"/>
      <c r="S169" s="41"/>
      <c r="T169" s="41"/>
      <c r="U169" s="41"/>
      <c r="V169" s="41"/>
      <c r="W169" s="41"/>
      <c r="X169" s="41"/>
      <c r="Y169" s="41"/>
      <c r="Z169" s="41"/>
      <c r="AA169" s="41"/>
    </row>
    <row r="170" spans="1:27" x14ac:dyDescent="0.3">
      <c r="A170" s="41"/>
      <c r="B170" s="41"/>
      <c r="C170" s="41"/>
      <c r="D170" s="41"/>
      <c r="E170" s="41"/>
      <c r="F170" s="41"/>
      <c r="G170" s="41"/>
      <c r="H170" s="41"/>
      <c r="I170" s="41"/>
      <c r="J170" s="41"/>
      <c r="K170" s="41"/>
      <c r="L170" s="41"/>
      <c r="M170" s="41"/>
      <c r="N170" s="41"/>
      <c r="O170" s="41"/>
      <c r="P170" s="41"/>
      <c r="Q170" s="41"/>
      <c r="R170" s="41"/>
      <c r="S170" s="41"/>
      <c r="T170" s="41"/>
      <c r="U170" s="41"/>
      <c r="V170" s="41"/>
      <c r="W170" s="41"/>
      <c r="X170" s="41"/>
      <c r="Y170" s="41"/>
      <c r="Z170" s="41"/>
      <c r="AA170" s="41"/>
    </row>
    <row r="171" spans="1:27" x14ac:dyDescent="0.3">
      <c r="A171" s="41"/>
      <c r="B171" s="41"/>
      <c r="C171" s="41"/>
      <c r="D171" s="41"/>
      <c r="E171" s="41"/>
      <c r="F171" s="41"/>
      <c r="G171" s="41"/>
      <c r="H171" s="41"/>
      <c r="I171" s="41"/>
      <c r="J171" s="41"/>
      <c r="K171" s="41"/>
      <c r="L171" s="41"/>
      <c r="M171" s="41"/>
      <c r="N171" s="41"/>
      <c r="O171" s="41"/>
      <c r="P171" s="41"/>
      <c r="Q171" s="41"/>
      <c r="R171" s="41"/>
      <c r="S171" s="41"/>
      <c r="T171" s="41"/>
      <c r="U171" s="41"/>
      <c r="V171" s="41"/>
      <c r="W171" s="41"/>
      <c r="X171" s="41"/>
      <c r="Y171" s="41"/>
      <c r="Z171" s="41"/>
      <c r="AA171" s="41"/>
    </row>
    <row r="172" spans="1:27" x14ac:dyDescent="0.3">
      <c r="A172" s="41"/>
      <c r="B172" s="41"/>
      <c r="C172" s="41"/>
      <c r="D172" s="41"/>
      <c r="E172" s="41"/>
      <c r="F172" s="41"/>
      <c r="G172" s="41"/>
      <c r="H172" s="41"/>
      <c r="I172" s="41"/>
      <c r="J172" s="41"/>
      <c r="K172" s="41"/>
      <c r="L172" s="41"/>
      <c r="M172" s="41"/>
      <c r="N172" s="41"/>
      <c r="O172" s="41"/>
      <c r="P172" s="41"/>
      <c r="Q172" s="41"/>
      <c r="R172" s="41"/>
      <c r="S172" s="41"/>
      <c r="T172" s="41"/>
      <c r="U172" s="41"/>
      <c r="V172" s="41"/>
      <c r="W172" s="41"/>
      <c r="X172" s="41"/>
      <c r="Y172" s="41"/>
      <c r="Z172" s="41"/>
      <c r="AA172" s="41"/>
    </row>
    <row r="173" spans="1:27" x14ac:dyDescent="0.3">
      <c r="A173" s="41"/>
      <c r="B173" s="41"/>
      <c r="C173" s="41"/>
      <c r="D173" s="41"/>
      <c r="E173" s="41"/>
      <c r="F173" s="41"/>
      <c r="G173" s="41"/>
      <c r="H173" s="41"/>
      <c r="I173" s="41"/>
      <c r="J173" s="41"/>
      <c r="K173" s="41"/>
      <c r="L173" s="41"/>
      <c r="M173" s="41"/>
      <c r="N173" s="41"/>
      <c r="O173" s="41"/>
      <c r="P173" s="41"/>
      <c r="Q173" s="41"/>
      <c r="R173" s="41"/>
      <c r="S173" s="41"/>
      <c r="T173" s="41"/>
      <c r="U173" s="41"/>
      <c r="V173" s="41"/>
      <c r="W173" s="41"/>
      <c r="X173" s="41"/>
      <c r="Y173" s="41"/>
      <c r="Z173" s="41"/>
      <c r="AA173" s="41"/>
    </row>
    <row r="174" spans="1:27" x14ac:dyDescent="0.3">
      <c r="A174" s="41"/>
      <c r="B174" s="41"/>
      <c r="C174" s="41"/>
      <c r="D174" s="41"/>
      <c r="E174" s="41"/>
      <c r="F174" s="41"/>
      <c r="G174" s="41"/>
      <c r="H174" s="41"/>
      <c r="I174" s="41"/>
      <c r="J174" s="41"/>
      <c r="K174" s="41"/>
      <c r="L174" s="41"/>
      <c r="M174" s="41"/>
      <c r="N174" s="41"/>
      <c r="O174" s="41"/>
      <c r="P174" s="41"/>
      <c r="Q174" s="41"/>
      <c r="R174" s="41"/>
      <c r="S174" s="41"/>
      <c r="T174" s="41"/>
      <c r="U174" s="41"/>
      <c r="V174" s="41"/>
      <c r="W174" s="41"/>
      <c r="X174" s="41"/>
      <c r="Y174" s="41"/>
      <c r="Z174" s="41"/>
      <c r="AA174" s="41"/>
    </row>
    <row r="175" spans="1:27" x14ac:dyDescent="0.3">
      <c r="A175" s="41"/>
      <c r="B175" s="41"/>
      <c r="C175" s="41"/>
      <c r="D175" s="41"/>
      <c r="E175" s="41"/>
      <c r="F175" s="41"/>
      <c r="G175" s="41"/>
      <c r="H175" s="41"/>
      <c r="I175" s="41"/>
      <c r="J175" s="41"/>
      <c r="K175" s="41"/>
      <c r="L175" s="41"/>
      <c r="M175" s="41"/>
      <c r="N175" s="41"/>
      <c r="O175" s="41"/>
      <c r="P175" s="41"/>
      <c r="Q175" s="41"/>
      <c r="R175" s="41"/>
      <c r="S175" s="41"/>
      <c r="T175" s="41"/>
      <c r="U175" s="41"/>
      <c r="V175" s="41"/>
      <c r="W175" s="41"/>
      <c r="X175" s="41"/>
      <c r="Y175" s="41"/>
      <c r="Z175" s="41"/>
      <c r="AA175" s="41"/>
    </row>
    <row r="176" spans="1:27" x14ac:dyDescent="0.3">
      <c r="A176" s="41"/>
      <c r="B176" s="41"/>
      <c r="C176" s="41"/>
      <c r="D176" s="41"/>
      <c r="E176" s="41"/>
      <c r="F176" s="41"/>
      <c r="G176" s="41"/>
      <c r="H176" s="41"/>
      <c r="I176" s="41"/>
      <c r="J176" s="41"/>
      <c r="K176" s="41"/>
      <c r="L176" s="41"/>
      <c r="M176" s="41"/>
      <c r="N176" s="41"/>
      <c r="O176" s="41"/>
      <c r="P176" s="41"/>
      <c r="Q176" s="41"/>
      <c r="R176" s="41"/>
      <c r="S176" s="41"/>
      <c r="T176" s="41"/>
      <c r="U176" s="41"/>
      <c r="V176" s="41"/>
      <c r="W176" s="41"/>
      <c r="X176" s="41"/>
      <c r="Y176" s="41"/>
      <c r="Z176" s="41"/>
      <c r="AA176" s="41"/>
    </row>
    <row r="177" spans="1:27" x14ac:dyDescent="0.3">
      <c r="A177" s="41"/>
      <c r="B177" s="41"/>
      <c r="C177" s="41"/>
      <c r="D177" s="41"/>
      <c r="E177" s="41"/>
      <c r="F177" s="41"/>
      <c r="G177" s="41"/>
      <c r="H177" s="41"/>
      <c r="I177" s="41"/>
      <c r="J177" s="41"/>
      <c r="K177" s="41"/>
      <c r="L177" s="41"/>
      <c r="M177" s="41"/>
      <c r="N177" s="41"/>
      <c r="O177" s="41"/>
      <c r="P177" s="41"/>
      <c r="Q177" s="41"/>
      <c r="R177" s="41"/>
      <c r="S177" s="41"/>
      <c r="T177" s="41"/>
      <c r="U177" s="41"/>
      <c r="V177" s="41"/>
      <c r="W177" s="41"/>
      <c r="X177" s="41"/>
      <c r="Y177" s="41"/>
      <c r="Z177" s="41"/>
      <c r="AA177" s="41"/>
    </row>
    <row r="178" spans="1:27" x14ac:dyDescent="0.3">
      <c r="A178" s="41"/>
      <c r="B178" s="41"/>
      <c r="C178" s="41"/>
      <c r="D178" s="41"/>
      <c r="E178" s="41"/>
      <c r="F178" s="41"/>
      <c r="G178" s="41"/>
      <c r="H178" s="41"/>
      <c r="I178" s="41"/>
      <c r="J178" s="41"/>
      <c r="K178" s="41"/>
      <c r="L178" s="41"/>
      <c r="M178" s="41"/>
      <c r="N178" s="41"/>
      <c r="O178" s="41"/>
      <c r="P178" s="41"/>
      <c r="Q178" s="41"/>
      <c r="R178" s="41"/>
      <c r="S178" s="41"/>
      <c r="T178" s="41"/>
      <c r="U178" s="41"/>
      <c r="V178" s="41"/>
      <c r="W178" s="41"/>
      <c r="X178" s="41"/>
      <c r="Y178" s="41"/>
      <c r="Z178" s="41"/>
      <c r="AA178" s="41"/>
    </row>
    <row r="179" spans="1:27" x14ac:dyDescent="0.3">
      <c r="A179" s="41"/>
      <c r="B179" s="41"/>
      <c r="C179" s="41"/>
      <c r="D179" s="41"/>
      <c r="E179" s="41"/>
      <c r="F179" s="41"/>
      <c r="G179" s="41"/>
      <c r="H179" s="41"/>
      <c r="I179" s="41"/>
      <c r="J179" s="41"/>
      <c r="K179" s="41"/>
      <c r="L179" s="41"/>
      <c r="M179" s="41"/>
      <c r="N179" s="41"/>
      <c r="O179" s="41"/>
      <c r="P179" s="41"/>
      <c r="Q179" s="41"/>
      <c r="R179" s="41"/>
      <c r="S179" s="41"/>
      <c r="T179" s="41"/>
      <c r="U179" s="41"/>
      <c r="V179" s="41"/>
      <c r="W179" s="41"/>
      <c r="X179" s="41"/>
      <c r="Y179" s="41"/>
      <c r="Z179" s="41"/>
      <c r="AA179" s="41"/>
    </row>
    <row r="180" spans="1:27" x14ac:dyDescent="0.3">
      <c r="A180" s="41"/>
      <c r="B180" s="41"/>
      <c r="C180" s="41"/>
      <c r="D180" s="41"/>
      <c r="E180" s="41"/>
      <c r="F180" s="41"/>
      <c r="G180" s="41"/>
      <c r="H180" s="41"/>
      <c r="I180" s="41"/>
      <c r="J180" s="41"/>
      <c r="K180" s="41"/>
      <c r="L180" s="41"/>
      <c r="M180" s="41"/>
      <c r="N180" s="41"/>
      <c r="O180" s="41"/>
      <c r="P180" s="41"/>
      <c r="Q180" s="41"/>
      <c r="R180" s="41"/>
      <c r="S180" s="41"/>
      <c r="T180" s="41"/>
      <c r="U180" s="41"/>
      <c r="V180" s="41"/>
      <c r="W180" s="41"/>
      <c r="X180" s="41"/>
      <c r="Y180" s="41"/>
      <c r="Z180" s="41"/>
      <c r="AA180" s="41"/>
    </row>
    <row r="181" spans="1:27" x14ac:dyDescent="0.3">
      <c r="A181" s="41"/>
      <c r="B181" s="41"/>
      <c r="C181" s="41"/>
      <c r="D181" s="41"/>
      <c r="E181" s="41"/>
      <c r="F181" s="41"/>
      <c r="G181" s="41"/>
      <c r="H181" s="41"/>
      <c r="I181" s="41"/>
      <c r="J181" s="41"/>
      <c r="K181" s="41"/>
      <c r="L181" s="41"/>
      <c r="M181" s="41"/>
      <c r="N181" s="41"/>
      <c r="O181" s="41"/>
      <c r="P181" s="41"/>
      <c r="Q181" s="41"/>
      <c r="R181" s="41"/>
      <c r="S181" s="41"/>
      <c r="T181" s="41"/>
      <c r="U181" s="41"/>
      <c r="V181" s="41"/>
      <c r="W181" s="41"/>
      <c r="X181" s="41"/>
      <c r="Y181" s="41"/>
      <c r="Z181" s="41"/>
      <c r="AA181" s="41"/>
    </row>
    <row r="182" spans="1:27" x14ac:dyDescent="0.3">
      <c r="A182" s="41"/>
      <c r="B182" s="41"/>
      <c r="C182" s="41"/>
      <c r="D182" s="41"/>
      <c r="E182" s="41"/>
      <c r="F182" s="41"/>
      <c r="G182" s="41"/>
      <c r="H182" s="41"/>
      <c r="I182" s="41"/>
      <c r="J182" s="41"/>
      <c r="K182" s="41"/>
      <c r="L182" s="41"/>
      <c r="M182" s="41"/>
      <c r="N182" s="41"/>
      <c r="O182" s="41"/>
      <c r="P182" s="41"/>
      <c r="Q182" s="41"/>
      <c r="R182" s="41"/>
      <c r="S182" s="41"/>
      <c r="T182" s="41"/>
      <c r="U182" s="41"/>
      <c r="V182" s="41"/>
      <c r="W182" s="41"/>
      <c r="X182" s="41"/>
      <c r="Y182" s="41"/>
      <c r="Z182" s="41"/>
      <c r="AA182" s="41"/>
    </row>
    <row r="183" spans="1:27" x14ac:dyDescent="0.3">
      <c r="A183" s="41"/>
      <c r="B183" s="41"/>
      <c r="C183" s="41"/>
      <c r="D183" s="41"/>
      <c r="E183" s="41"/>
      <c r="F183" s="41"/>
      <c r="G183" s="41"/>
      <c r="H183" s="41"/>
      <c r="I183" s="41"/>
      <c r="J183" s="41"/>
      <c r="K183" s="41"/>
      <c r="L183" s="41"/>
      <c r="M183" s="41"/>
      <c r="N183" s="41"/>
      <c r="O183" s="41"/>
      <c r="P183" s="41"/>
      <c r="Q183" s="41"/>
      <c r="R183" s="41"/>
      <c r="S183" s="41"/>
      <c r="T183" s="41"/>
      <c r="U183" s="41"/>
      <c r="V183" s="41"/>
      <c r="W183" s="41"/>
      <c r="X183" s="41"/>
      <c r="Y183" s="41"/>
      <c r="Z183" s="41"/>
      <c r="AA183" s="41"/>
    </row>
    <row r="184" spans="1:27" x14ac:dyDescent="0.3">
      <c r="A184" s="41"/>
      <c r="B184" s="41"/>
      <c r="C184" s="41"/>
      <c r="D184" s="41"/>
      <c r="E184" s="41"/>
      <c r="F184" s="41"/>
      <c r="G184" s="41"/>
      <c r="H184" s="41"/>
      <c r="I184" s="41"/>
      <c r="J184" s="41"/>
      <c r="K184" s="41"/>
      <c r="L184" s="41"/>
      <c r="M184" s="41"/>
      <c r="N184" s="41"/>
      <c r="O184" s="41"/>
      <c r="P184" s="41"/>
      <c r="Q184" s="41"/>
      <c r="R184" s="41"/>
      <c r="S184" s="41"/>
      <c r="T184" s="41"/>
      <c r="U184" s="41"/>
      <c r="V184" s="41"/>
      <c r="W184" s="41"/>
      <c r="X184" s="41"/>
      <c r="Y184" s="41"/>
      <c r="Z184" s="41"/>
      <c r="AA184" s="41"/>
    </row>
    <row r="185" spans="1:27" x14ac:dyDescent="0.3">
      <c r="A185" s="41"/>
      <c r="B185" s="41"/>
      <c r="C185" s="41"/>
      <c r="D185" s="41"/>
      <c r="E185" s="41"/>
      <c r="F185" s="41"/>
      <c r="G185" s="41"/>
      <c r="H185" s="41"/>
      <c r="I185" s="41"/>
      <c r="J185" s="41"/>
      <c r="K185" s="41"/>
      <c r="L185" s="41"/>
      <c r="M185" s="41"/>
      <c r="N185" s="41"/>
      <c r="O185" s="41"/>
      <c r="P185" s="41"/>
      <c r="Q185" s="41"/>
      <c r="R185" s="41"/>
      <c r="S185" s="41"/>
      <c r="T185" s="41"/>
      <c r="U185" s="41"/>
      <c r="V185" s="41"/>
      <c r="W185" s="41"/>
      <c r="X185" s="41"/>
      <c r="Y185" s="41"/>
      <c r="Z185" s="41"/>
      <c r="AA185" s="41"/>
    </row>
    <row r="186" spans="1:27" x14ac:dyDescent="0.3">
      <c r="A186" s="41"/>
      <c r="B186" s="41"/>
      <c r="C186" s="41"/>
      <c r="D186" s="41"/>
      <c r="E186" s="41"/>
      <c r="F186" s="41"/>
      <c r="G186" s="41"/>
      <c r="H186" s="41"/>
      <c r="I186" s="41"/>
      <c r="J186" s="41"/>
      <c r="K186" s="41"/>
      <c r="L186" s="41"/>
      <c r="M186" s="41"/>
      <c r="N186" s="41"/>
      <c r="O186" s="41"/>
      <c r="P186" s="41"/>
      <c r="Q186" s="41"/>
      <c r="R186" s="41"/>
      <c r="S186" s="41"/>
      <c r="T186" s="41"/>
      <c r="U186" s="41"/>
      <c r="V186" s="41"/>
      <c r="W186" s="41"/>
      <c r="X186" s="41"/>
      <c r="Y186" s="41"/>
      <c r="Z186" s="41"/>
      <c r="AA186" s="41"/>
    </row>
    <row r="187" spans="1:27" x14ac:dyDescent="0.3">
      <c r="A187" s="41"/>
      <c r="B187" s="41"/>
      <c r="C187" s="41"/>
      <c r="D187" s="41"/>
      <c r="E187" s="41"/>
      <c r="F187" s="41"/>
      <c r="G187" s="41"/>
      <c r="H187" s="41"/>
      <c r="I187" s="41"/>
      <c r="J187" s="41"/>
      <c r="K187" s="41"/>
      <c r="L187" s="41"/>
      <c r="M187" s="41"/>
      <c r="N187" s="41"/>
      <c r="O187" s="41"/>
      <c r="P187" s="41"/>
      <c r="Q187" s="41"/>
      <c r="R187" s="41"/>
      <c r="S187" s="41"/>
      <c r="T187" s="41"/>
      <c r="U187" s="41"/>
      <c r="V187" s="41"/>
      <c r="W187" s="41"/>
      <c r="X187" s="41"/>
      <c r="Y187" s="41"/>
      <c r="Z187" s="41"/>
      <c r="AA187" s="41"/>
    </row>
    <row r="188" spans="1:27" x14ac:dyDescent="0.3">
      <c r="A188" s="41"/>
      <c r="B188" s="41"/>
      <c r="C188" s="41"/>
      <c r="D188" s="41"/>
      <c r="E188" s="41"/>
      <c r="F188" s="41"/>
      <c r="G188" s="41"/>
      <c r="H188" s="41"/>
      <c r="I188" s="41"/>
      <c r="J188" s="41"/>
      <c r="K188" s="41"/>
      <c r="L188" s="41"/>
      <c r="M188" s="41"/>
      <c r="N188" s="41"/>
      <c r="O188" s="41"/>
      <c r="P188" s="41"/>
      <c r="Q188" s="41"/>
      <c r="R188" s="41"/>
      <c r="S188" s="41"/>
      <c r="T188" s="41"/>
      <c r="U188" s="41"/>
      <c r="V188" s="41"/>
      <c r="W188" s="41"/>
      <c r="X188" s="41"/>
      <c r="Y188" s="41"/>
      <c r="Z188" s="41"/>
      <c r="AA188" s="41"/>
    </row>
    <row r="189" spans="1:27" x14ac:dyDescent="0.3">
      <c r="A189" s="41"/>
      <c r="B189" s="41"/>
      <c r="C189" s="41"/>
      <c r="D189" s="41"/>
      <c r="E189" s="41"/>
      <c r="F189" s="41"/>
      <c r="G189" s="41"/>
      <c r="H189" s="41"/>
      <c r="I189" s="41"/>
      <c r="J189" s="41"/>
      <c r="K189" s="41"/>
      <c r="L189" s="41"/>
      <c r="M189" s="41"/>
      <c r="N189" s="41"/>
      <c r="O189" s="41"/>
      <c r="P189" s="41"/>
      <c r="Q189" s="41"/>
      <c r="R189" s="41"/>
      <c r="S189" s="41"/>
      <c r="T189" s="41"/>
      <c r="U189" s="41"/>
      <c r="V189" s="41"/>
      <c r="W189" s="41"/>
      <c r="X189" s="41"/>
      <c r="Y189" s="41"/>
      <c r="Z189" s="41"/>
      <c r="AA189" s="41"/>
    </row>
    <row r="190" spans="1:27" x14ac:dyDescent="0.3">
      <c r="A190" s="41"/>
      <c r="B190" s="41"/>
      <c r="C190" s="41"/>
      <c r="D190" s="41"/>
      <c r="E190" s="41"/>
      <c r="F190" s="41"/>
      <c r="G190" s="41"/>
      <c r="H190" s="41"/>
      <c r="I190" s="41"/>
      <c r="J190" s="41"/>
      <c r="K190" s="41"/>
      <c r="L190" s="41"/>
      <c r="M190" s="41"/>
      <c r="N190" s="41"/>
      <c r="O190" s="41"/>
      <c r="P190" s="41"/>
      <c r="Q190" s="41"/>
      <c r="R190" s="41"/>
      <c r="S190" s="41"/>
      <c r="T190" s="41"/>
      <c r="U190" s="41"/>
      <c r="V190" s="41"/>
      <c r="W190" s="41"/>
      <c r="X190" s="41"/>
      <c r="Y190" s="41"/>
      <c r="Z190" s="41"/>
      <c r="AA190" s="41"/>
    </row>
    <row r="191" spans="1:27" x14ac:dyDescent="0.3">
      <c r="A191" s="41"/>
      <c r="B191" s="41"/>
      <c r="C191" s="41"/>
      <c r="D191" s="41"/>
      <c r="E191" s="41"/>
      <c r="F191" s="41"/>
      <c r="G191" s="41"/>
      <c r="H191" s="41"/>
      <c r="I191" s="41"/>
      <c r="J191" s="41"/>
      <c r="K191" s="41"/>
      <c r="L191" s="41"/>
      <c r="M191" s="41"/>
      <c r="N191" s="41"/>
      <c r="O191" s="41"/>
      <c r="P191" s="41"/>
      <c r="Q191" s="41"/>
      <c r="R191" s="41"/>
      <c r="S191" s="41"/>
      <c r="T191" s="41"/>
      <c r="U191" s="41"/>
      <c r="V191" s="41"/>
      <c r="W191" s="41"/>
      <c r="X191" s="41"/>
      <c r="Y191" s="41"/>
      <c r="Z191" s="41"/>
      <c r="AA191" s="41"/>
    </row>
    <row r="192" spans="1:27" x14ac:dyDescent="0.3">
      <c r="A192" s="41"/>
      <c r="B192" s="41"/>
      <c r="C192" s="41"/>
      <c r="D192" s="41"/>
      <c r="E192" s="41"/>
      <c r="F192" s="41"/>
      <c r="G192" s="41"/>
      <c r="H192" s="41"/>
      <c r="I192" s="41"/>
      <c r="J192" s="41"/>
      <c r="K192" s="41"/>
      <c r="L192" s="41"/>
      <c r="M192" s="41"/>
      <c r="N192" s="41"/>
      <c r="O192" s="41"/>
      <c r="P192" s="41"/>
      <c r="Q192" s="41"/>
      <c r="R192" s="41"/>
      <c r="S192" s="41"/>
      <c r="T192" s="41"/>
      <c r="U192" s="41"/>
      <c r="V192" s="41"/>
      <c r="W192" s="41"/>
      <c r="X192" s="41"/>
      <c r="Y192" s="41"/>
      <c r="Z192" s="41"/>
      <c r="AA192" s="41"/>
    </row>
    <row r="193" spans="1:27" x14ac:dyDescent="0.3">
      <c r="A193" s="41"/>
      <c r="B193" s="41"/>
      <c r="C193" s="41"/>
      <c r="D193" s="41"/>
      <c r="E193" s="41"/>
      <c r="F193" s="41"/>
      <c r="G193" s="41"/>
      <c r="H193" s="41"/>
      <c r="I193" s="41"/>
      <c r="J193" s="41"/>
      <c r="K193" s="41"/>
      <c r="L193" s="41"/>
      <c r="M193" s="41"/>
      <c r="N193" s="41"/>
      <c r="O193" s="41"/>
      <c r="P193" s="41"/>
      <c r="Q193" s="41"/>
      <c r="R193" s="41"/>
      <c r="S193" s="41"/>
      <c r="T193" s="41"/>
      <c r="U193" s="41"/>
      <c r="V193" s="41"/>
      <c r="W193" s="41"/>
      <c r="X193" s="41"/>
      <c r="Y193" s="41"/>
      <c r="Z193" s="41"/>
      <c r="AA193" s="41"/>
    </row>
    <row r="194" spans="1:27" x14ac:dyDescent="0.3">
      <c r="A194" s="41"/>
      <c r="B194" s="41"/>
      <c r="C194" s="41"/>
      <c r="D194" s="41"/>
      <c r="E194" s="41"/>
      <c r="F194" s="41"/>
      <c r="G194" s="41"/>
      <c r="H194" s="41"/>
      <c r="I194" s="41"/>
      <c r="J194" s="41"/>
      <c r="K194" s="41"/>
      <c r="L194" s="41"/>
      <c r="M194" s="41"/>
      <c r="N194" s="41"/>
      <c r="O194" s="41"/>
      <c r="P194" s="41"/>
      <c r="Q194" s="41"/>
      <c r="R194" s="41"/>
      <c r="S194" s="41"/>
      <c r="T194" s="41"/>
      <c r="U194" s="41"/>
      <c r="V194" s="41"/>
      <c r="W194" s="41"/>
      <c r="X194" s="41"/>
      <c r="Y194" s="41"/>
      <c r="Z194" s="41"/>
      <c r="AA194" s="41"/>
    </row>
    <row r="195" spans="1:27" x14ac:dyDescent="0.3">
      <c r="A195" s="41"/>
      <c r="B195" s="41"/>
      <c r="C195" s="41"/>
      <c r="D195" s="41"/>
      <c r="E195" s="41"/>
      <c r="F195" s="41"/>
      <c r="G195" s="41"/>
      <c r="H195" s="41"/>
      <c r="I195" s="41"/>
      <c r="J195" s="41"/>
      <c r="K195" s="41"/>
      <c r="L195" s="41"/>
      <c r="M195" s="41"/>
      <c r="N195" s="41"/>
      <c r="O195" s="41"/>
      <c r="P195" s="41"/>
      <c r="Q195" s="41"/>
      <c r="R195" s="41"/>
      <c r="S195" s="41"/>
      <c r="T195" s="41"/>
      <c r="U195" s="41"/>
      <c r="V195" s="41"/>
      <c r="W195" s="41"/>
      <c r="X195" s="41"/>
      <c r="Y195" s="41"/>
      <c r="Z195" s="41"/>
      <c r="AA195" s="41"/>
    </row>
    <row r="196" spans="1:27" x14ac:dyDescent="0.3">
      <c r="A196" s="41"/>
      <c r="B196" s="41"/>
      <c r="C196" s="41"/>
      <c r="D196" s="41"/>
      <c r="E196" s="41"/>
      <c r="F196" s="41"/>
      <c r="G196" s="41"/>
      <c r="H196" s="41"/>
      <c r="I196" s="41"/>
      <c r="J196" s="41"/>
      <c r="K196" s="41"/>
      <c r="L196" s="41"/>
      <c r="M196" s="41"/>
      <c r="N196" s="41"/>
      <c r="O196" s="41"/>
      <c r="P196" s="41"/>
      <c r="Q196" s="41"/>
      <c r="R196" s="41"/>
      <c r="S196" s="41"/>
      <c r="T196" s="41"/>
      <c r="U196" s="41"/>
      <c r="V196" s="41"/>
      <c r="W196" s="41"/>
      <c r="X196" s="41"/>
      <c r="Y196" s="41"/>
      <c r="Z196" s="41"/>
      <c r="AA196" s="41"/>
    </row>
    <row r="197" spans="1:27" x14ac:dyDescent="0.3">
      <c r="A197" s="41"/>
      <c r="B197" s="41"/>
      <c r="C197" s="41"/>
      <c r="D197" s="41"/>
      <c r="E197" s="41"/>
      <c r="F197" s="41"/>
      <c r="G197" s="41"/>
      <c r="H197" s="41"/>
      <c r="I197" s="41"/>
      <c r="J197" s="41"/>
      <c r="K197" s="41"/>
      <c r="L197" s="41"/>
      <c r="M197" s="41"/>
      <c r="N197" s="41"/>
      <c r="O197" s="41"/>
      <c r="P197" s="41"/>
      <c r="Q197" s="41"/>
      <c r="R197" s="41"/>
      <c r="S197" s="41"/>
      <c r="T197" s="41"/>
      <c r="U197" s="41"/>
      <c r="V197" s="41"/>
      <c r="W197" s="41"/>
      <c r="X197" s="41"/>
      <c r="Y197" s="41"/>
      <c r="Z197" s="41"/>
      <c r="AA197" s="41"/>
    </row>
    <row r="198" spans="1:27" x14ac:dyDescent="0.3">
      <c r="A198" s="41"/>
      <c r="B198" s="41"/>
      <c r="C198" s="41"/>
      <c r="D198" s="41"/>
      <c r="E198" s="41"/>
      <c r="F198" s="41"/>
      <c r="G198" s="41"/>
      <c r="H198" s="41"/>
      <c r="I198" s="41"/>
      <c r="J198" s="41"/>
      <c r="K198" s="41"/>
      <c r="L198" s="41"/>
      <c r="M198" s="41"/>
      <c r="N198" s="41"/>
      <c r="O198" s="41"/>
      <c r="P198" s="41"/>
      <c r="Q198" s="41"/>
      <c r="R198" s="41"/>
      <c r="S198" s="41"/>
      <c r="T198" s="41"/>
      <c r="U198" s="41"/>
      <c r="V198" s="41"/>
      <c r="W198" s="41"/>
      <c r="X198" s="41"/>
      <c r="Y198" s="41"/>
      <c r="Z198" s="41"/>
      <c r="AA198" s="41"/>
    </row>
    <row r="199" spans="1:27" x14ac:dyDescent="0.3">
      <c r="A199" s="41"/>
      <c r="B199" s="41"/>
      <c r="C199" s="41"/>
      <c r="D199" s="41"/>
      <c r="E199" s="41"/>
      <c r="F199" s="41"/>
      <c r="G199" s="41"/>
      <c r="H199" s="41"/>
      <c r="I199" s="41"/>
      <c r="J199" s="41"/>
      <c r="K199" s="41"/>
      <c r="L199" s="41"/>
      <c r="M199" s="41"/>
      <c r="N199" s="41"/>
      <c r="O199" s="41"/>
      <c r="P199" s="41"/>
      <c r="Q199" s="41"/>
      <c r="R199" s="41"/>
      <c r="S199" s="41"/>
      <c r="T199" s="41"/>
      <c r="U199" s="41"/>
      <c r="V199" s="41"/>
      <c r="W199" s="41"/>
      <c r="X199" s="41"/>
      <c r="Y199" s="41"/>
      <c r="Z199" s="41"/>
      <c r="AA199" s="41"/>
    </row>
    <row r="200" spans="1:27" x14ac:dyDescent="0.3">
      <c r="A200" s="41"/>
      <c r="B200" s="41"/>
      <c r="C200" s="41"/>
      <c r="D200" s="41"/>
      <c r="E200" s="41"/>
      <c r="F200" s="41"/>
      <c r="G200" s="41"/>
      <c r="H200" s="41"/>
      <c r="I200" s="41"/>
      <c r="J200" s="41"/>
      <c r="K200" s="41"/>
      <c r="L200" s="41"/>
      <c r="M200" s="41"/>
      <c r="N200" s="41"/>
      <c r="O200" s="41"/>
      <c r="P200" s="41"/>
      <c r="Q200" s="41"/>
      <c r="R200" s="41"/>
      <c r="S200" s="41"/>
      <c r="T200" s="41"/>
      <c r="U200" s="41"/>
      <c r="V200" s="41"/>
      <c r="W200" s="41"/>
      <c r="X200" s="41"/>
      <c r="Y200" s="41"/>
      <c r="Z200" s="41"/>
      <c r="AA200" s="41"/>
    </row>
    <row r="201" spans="1:27" x14ac:dyDescent="0.3">
      <c r="A201" s="41"/>
      <c r="B201" s="41"/>
      <c r="C201" s="41"/>
      <c r="D201" s="41"/>
      <c r="E201" s="41"/>
      <c r="F201" s="41"/>
      <c r="G201" s="41"/>
      <c r="H201" s="41"/>
      <c r="I201" s="41"/>
      <c r="J201" s="41"/>
      <c r="K201" s="41"/>
      <c r="L201" s="41"/>
      <c r="M201" s="41"/>
      <c r="N201" s="41"/>
      <c r="O201" s="41"/>
      <c r="P201" s="41"/>
      <c r="Q201" s="41"/>
      <c r="R201" s="41"/>
      <c r="S201" s="41"/>
      <c r="T201" s="41"/>
      <c r="U201" s="41"/>
      <c r="V201" s="41"/>
      <c r="W201" s="41"/>
      <c r="X201" s="41"/>
      <c r="Y201" s="41"/>
      <c r="Z201" s="41"/>
      <c r="AA201" s="41"/>
    </row>
    <row r="202" spans="1:27" x14ac:dyDescent="0.3">
      <c r="A202" s="41"/>
      <c r="B202" s="41"/>
      <c r="C202" s="41"/>
      <c r="D202" s="41"/>
      <c r="E202" s="41"/>
      <c r="F202" s="41"/>
      <c r="G202" s="41"/>
      <c r="H202" s="41"/>
      <c r="I202" s="41"/>
      <c r="J202" s="41"/>
      <c r="K202" s="41"/>
      <c r="L202" s="41"/>
      <c r="M202" s="41"/>
      <c r="N202" s="41"/>
      <c r="O202" s="41"/>
      <c r="P202" s="41"/>
      <c r="Q202" s="41"/>
      <c r="R202" s="41"/>
      <c r="S202" s="41"/>
      <c r="T202" s="41"/>
      <c r="U202" s="41"/>
      <c r="V202" s="41"/>
      <c r="W202" s="41"/>
      <c r="X202" s="41"/>
      <c r="Y202" s="41"/>
      <c r="Z202" s="41"/>
      <c r="AA202" s="41"/>
    </row>
    <row r="203" spans="1:27" x14ac:dyDescent="0.3">
      <c r="A203" s="41"/>
      <c r="B203" s="41"/>
      <c r="C203" s="41"/>
      <c r="D203" s="41"/>
      <c r="E203" s="41"/>
      <c r="F203" s="41"/>
      <c r="G203" s="41"/>
      <c r="H203" s="41"/>
      <c r="I203" s="41"/>
      <c r="J203" s="41"/>
      <c r="K203" s="41"/>
      <c r="L203" s="41"/>
      <c r="M203" s="41"/>
      <c r="N203" s="41"/>
      <c r="O203" s="41"/>
      <c r="P203" s="41"/>
      <c r="Q203" s="41"/>
      <c r="R203" s="41"/>
      <c r="S203" s="41"/>
      <c r="T203" s="41"/>
      <c r="U203" s="41"/>
      <c r="V203" s="41"/>
      <c r="W203" s="41"/>
      <c r="X203" s="41"/>
      <c r="Y203" s="41"/>
      <c r="Z203" s="41"/>
      <c r="AA203" s="41"/>
    </row>
    <row r="204" spans="1:27" x14ac:dyDescent="0.3">
      <c r="A204" s="41"/>
      <c r="B204" s="41"/>
      <c r="C204" s="41"/>
      <c r="D204" s="41"/>
      <c r="E204" s="41"/>
      <c r="F204" s="41"/>
      <c r="G204" s="41"/>
      <c r="H204" s="41"/>
      <c r="I204" s="41"/>
      <c r="J204" s="41"/>
      <c r="K204" s="41"/>
      <c r="L204" s="41"/>
      <c r="M204" s="41"/>
      <c r="N204" s="41"/>
      <c r="O204" s="41"/>
      <c r="P204" s="41"/>
      <c r="Q204" s="41"/>
      <c r="R204" s="41"/>
      <c r="S204" s="41"/>
      <c r="T204" s="41"/>
      <c r="U204" s="41"/>
      <c r="V204" s="41"/>
      <c r="W204" s="41"/>
      <c r="X204" s="41"/>
      <c r="Y204" s="41"/>
      <c r="Z204" s="41"/>
      <c r="AA204" s="41"/>
    </row>
    <row r="205" spans="1:27" x14ac:dyDescent="0.3">
      <c r="A205" s="41"/>
      <c r="B205" s="41"/>
      <c r="C205" s="41"/>
      <c r="D205" s="41"/>
      <c r="E205" s="41"/>
      <c r="F205" s="41"/>
      <c r="G205" s="41"/>
      <c r="H205" s="41"/>
      <c r="I205" s="41"/>
      <c r="J205" s="41"/>
      <c r="K205" s="41"/>
      <c r="L205" s="41"/>
      <c r="M205" s="41"/>
      <c r="N205" s="41"/>
      <c r="O205" s="41"/>
      <c r="P205" s="41"/>
      <c r="Q205" s="41"/>
      <c r="R205" s="41"/>
      <c r="S205" s="41"/>
      <c r="T205" s="41"/>
      <c r="U205" s="41"/>
      <c r="V205" s="41"/>
      <c r="W205" s="41"/>
      <c r="X205" s="41"/>
      <c r="Y205" s="41"/>
      <c r="Z205" s="41"/>
      <c r="AA205" s="41"/>
    </row>
    <row r="206" spans="1:27" x14ac:dyDescent="0.3">
      <c r="A206" s="41"/>
      <c r="B206" s="41"/>
      <c r="C206" s="41"/>
      <c r="D206" s="41"/>
      <c r="E206" s="41"/>
      <c r="F206" s="41"/>
      <c r="G206" s="41"/>
      <c r="H206" s="41"/>
      <c r="I206" s="41"/>
      <c r="J206" s="41"/>
      <c r="K206" s="41"/>
      <c r="L206" s="41"/>
      <c r="M206" s="41"/>
      <c r="N206" s="41"/>
      <c r="O206" s="41"/>
      <c r="P206" s="41"/>
      <c r="Q206" s="41"/>
      <c r="R206" s="41"/>
      <c r="S206" s="41"/>
      <c r="T206" s="41"/>
      <c r="U206" s="41"/>
      <c r="V206" s="41"/>
      <c r="W206" s="41"/>
      <c r="X206" s="41"/>
      <c r="Y206" s="41"/>
      <c r="Z206" s="41"/>
      <c r="AA206" s="41"/>
    </row>
    <row r="207" spans="1:27" x14ac:dyDescent="0.3">
      <c r="A207" s="41"/>
      <c r="B207" s="41"/>
      <c r="C207" s="41"/>
      <c r="D207" s="41"/>
      <c r="E207" s="41"/>
      <c r="F207" s="41"/>
      <c r="G207" s="41"/>
      <c r="H207" s="41"/>
      <c r="I207" s="41"/>
      <c r="J207" s="41"/>
      <c r="K207" s="41"/>
      <c r="L207" s="41"/>
      <c r="M207" s="41"/>
      <c r="N207" s="41"/>
      <c r="O207" s="41"/>
      <c r="P207" s="41"/>
      <c r="Q207" s="41"/>
      <c r="R207" s="41"/>
      <c r="S207" s="41"/>
      <c r="T207" s="41"/>
      <c r="U207" s="41"/>
      <c r="V207" s="41"/>
      <c r="W207" s="41"/>
      <c r="X207" s="41"/>
      <c r="Y207" s="41"/>
      <c r="Z207" s="41"/>
      <c r="AA207" s="41"/>
    </row>
    <row r="208" spans="1:27" x14ac:dyDescent="0.3">
      <c r="A208" s="41"/>
      <c r="B208" s="41"/>
      <c r="C208" s="41"/>
      <c r="D208" s="41"/>
      <c r="E208" s="41"/>
      <c r="F208" s="41"/>
      <c r="G208" s="41"/>
      <c r="H208" s="41"/>
      <c r="I208" s="41"/>
      <c r="J208" s="41"/>
      <c r="K208" s="41"/>
      <c r="L208" s="41"/>
      <c r="M208" s="41"/>
      <c r="N208" s="41"/>
      <c r="O208" s="41"/>
      <c r="P208" s="41"/>
      <c r="Q208" s="41"/>
      <c r="R208" s="41"/>
      <c r="S208" s="41"/>
      <c r="T208" s="41"/>
      <c r="U208" s="41"/>
      <c r="V208" s="41"/>
      <c r="W208" s="41"/>
      <c r="X208" s="41"/>
      <c r="Y208" s="41"/>
      <c r="Z208" s="41"/>
      <c r="AA208" s="41"/>
    </row>
    <row r="209" spans="1:27" x14ac:dyDescent="0.3">
      <c r="A209" s="41"/>
      <c r="B209" s="41"/>
      <c r="C209" s="41"/>
      <c r="D209" s="41"/>
      <c r="E209" s="41"/>
      <c r="F209" s="41"/>
      <c r="G209" s="41"/>
      <c r="H209" s="41"/>
      <c r="I209" s="41"/>
      <c r="J209" s="41"/>
      <c r="K209" s="41"/>
      <c r="L209" s="41"/>
      <c r="M209" s="41"/>
      <c r="N209" s="41"/>
      <c r="O209" s="41"/>
      <c r="P209" s="41"/>
      <c r="Q209" s="41"/>
      <c r="R209" s="41"/>
      <c r="S209" s="41"/>
      <c r="T209" s="41"/>
      <c r="U209" s="41"/>
      <c r="V209" s="41"/>
      <c r="W209" s="41"/>
      <c r="X209" s="41"/>
      <c r="Y209" s="41"/>
      <c r="Z209" s="41"/>
      <c r="AA209" s="41"/>
    </row>
    <row r="210" spans="1:27" x14ac:dyDescent="0.3">
      <c r="A210" s="41"/>
      <c r="B210" s="41"/>
      <c r="C210" s="41"/>
      <c r="D210" s="41"/>
      <c r="E210" s="41"/>
      <c r="F210" s="41"/>
      <c r="G210" s="41"/>
      <c r="H210" s="41"/>
      <c r="I210" s="41"/>
      <c r="J210" s="41"/>
      <c r="K210" s="41"/>
      <c r="L210" s="41"/>
      <c r="M210" s="41"/>
      <c r="N210" s="41"/>
      <c r="O210" s="41"/>
      <c r="P210" s="41"/>
      <c r="Q210" s="41"/>
      <c r="R210" s="41"/>
      <c r="S210" s="41"/>
      <c r="T210" s="41"/>
      <c r="U210" s="41"/>
      <c r="V210" s="41"/>
      <c r="W210" s="41"/>
      <c r="X210" s="41"/>
      <c r="Y210" s="41"/>
      <c r="Z210" s="41"/>
      <c r="AA210" s="41"/>
    </row>
    <row r="211" spans="1:27" x14ac:dyDescent="0.3">
      <c r="A211" s="41"/>
      <c r="B211" s="41"/>
      <c r="C211" s="41"/>
      <c r="D211" s="41"/>
      <c r="E211" s="41"/>
      <c r="F211" s="41"/>
      <c r="G211" s="41"/>
      <c r="H211" s="41"/>
      <c r="I211" s="41"/>
      <c r="J211" s="41"/>
      <c r="K211" s="41"/>
      <c r="L211" s="41"/>
      <c r="M211" s="41"/>
      <c r="N211" s="41"/>
      <c r="O211" s="41"/>
      <c r="P211" s="41"/>
      <c r="Q211" s="41"/>
      <c r="R211" s="41"/>
      <c r="S211" s="41"/>
      <c r="T211" s="41"/>
      <c r="U211" s="41"/>
      <c r="V211" s="41"/>
      <c r="W211" s="41"/>
      <c r="X211" s="41"/>
      <c r="Y211" s="41"/>
      <c r="Z211" s="41"/>
      <c r="AA211" s="41"/>
    </row>
    <row r="212" spans="1:27" x14ac:dyDescent="0.3">
      <c r="A212" s="41"/>
      <c r="B212" s="41"/>
      <c r="C212" s="41"/>
      <c r="D212" s="41"/>
      <c r="E212" s="41"/>
      <c r="F212" s="41"/>
      <c r="G212" s="41"/>
      <c r="H212" s="41"/>
      <c r="I212" s="41"/>
      <c r="J212" s="41"/>
      <c r="K212" s="41"/>
      <c r="L212" s="41"/>
      <c r="M212" s="41"/>
      <c r="N212" s="41"/>
      <c r="O212" s="41"/>
      <c r="P212" s="41"/>
      <c r="Q212" s="41"/>
      <c r="R212" s="41"/>
      <c r="S212" s="41"/>
      <c r="T212" s="41"/>
      <c r="U212" s="41"/>
      <c r="V212" s="41"/>
      <c r="W212" s="41"/>
      <c r="X212" s="41"/>
      <c r="Y212" s="41"/>
      <c r="Z212" s="41"/>
      <c r="AA212" s="41"/>
    </row>
    <row r="213" spans="1:27" x14ac:dyDescent="0.3">
      <c r="A213" s="41"/>
      <c r="B213" s="41"/>
      <c r="C213" s="41"/>
      <c r="D213" s="41"/>
      <c r="E213" s="41"/>
      <c r="F213" s="41"/>
      <c r="G213" s="41"/>
      <c r="H213" s="41"/>
      <c r="I213" s="41"/>
      <c r="J213" s="41"/>
      <c r="K213" s="41"/>
      <c r="L213" s="41"/>
      <c r="M213" s="41"/>
      <c r="N213" s="41"/>
      <c r="O213" s="41"/>
      <c r="P213" s="41"/>
      <c r="Q213" s="41"/>
      <c r="R213" s="41"/>
      <c r="S213" s="41"/>
      <c r="T213" s="41"/>
      <c r="U213" s="41"/>
      <c r="V213" s="41"/>
      <c r="W213" s="41"/>
      <c r="X213" s="41"/>
      <c r="Y213" s="41"/>
      <c r="Z213" s="41"/>
      <c r="AA213" s="41"/>
    </row>
    <row r="214" spans="1:27" x14ac:dyDescent="0.3">
      <c r="A214" s="41"/>
      <c r="B214" s="41"/>
      <c r="C214" s="41"/>
      <c r="D214" s="41"/>
      <c r="E214" s="41"/>
      <c r="F214" s="41"/>
      <c r="G214" s="41"/>
      <c r="H214" s="41"/>
      <c r="I214" s="41"/>
      <c r="J214" s="41"/>
      <c r="K214" s="41"/>
      <c r="L214" s="41"/>
      <c r="M214" s="41"/>
      <c r="N214" s="41"/>
      <c r="O214" s="41"/>
      <c r="P214" s="41"/>
      <c r="Q214" s="41"/>
      <c r="R214" s="41"/>
      <c r="S214" s="41"/>
      <c r="T214" s="41"/>
      <c r="U214" s="41"/>
      <c r="V214" s="41"/>
      <c r="W214" s="41"/>
      <c r="X214" s="41"/>
      <c r="Y214" s="41"/>
      <c r="Z214" s="41"/>
      <c r="AA214" s="41"/>
    </row>
    <row r="215" spans="1:27" x14ac:dyDescent="0.3">
      <c r="A215" s="41"/>
      <c r="B215" s="41"/>
      <c r="C215" s="41"/>
      <c r="D215" s="41"/>
      <c r="E215" s="41"/>
      <c r="F215" s="41"/>
      <c r="G215" s="41"/>
      <c r="H215" s="41"/>
      <c r="I215" s="41"/>
      <c r="J215" s="41"/>
      <c r="K215" s="41"/>
      <c r="L215" s="41"/>
      <c r="M215" s="41"/>
      <c r="N215" s="41"/>
      <c r="O215" s="41"/>
      <c r="P215" s="41"/>
      <c r="Q215" s="41"/>
      <c r="R215" s="41"/>
      <c r="S215" s="41"/>
      <c r="T215" s="41"/>
      <c r="U215" s="41"/>
      <c r="V215" s="41"/>
      <c r="W215" s="41"/>
      <c r="X215" s="41"/>
      <c r="Y215" s="41"/>
      <c r="Z215" s="41"/>
      <c r="AA215" s="41"/>
    </row>
    <row r="216" spans="1:27" x14ac:dyDescent="0.3">
      <c r="A216" s="41"/>
      <c r="B216" s="41"/>
      <c r="C216" s="41"/>
      <c r="D216" s="41"/>
      <c r="E216" s="41"/>
      <c r="F216" s="41"/>
      <c r="G216" s="41"/>
      <c r="H216" s="41"/>
      <c r="I216" s="41"/>
      <c r="J216" s="41"/>
      <c r="K216" s="41"/>
      <c r="L216" s="41"/>
      <c r="M216" s="41"/>
      <c r="N216" s="41"/>
      <c r="O216" s="41"/>
      <c r="P216" s="41"/>
      <c r="Q216" s="41"/>
      <c r="R216" s="41"/>
      <c r="S216" s="41"/>
      <c r="T216" s="41"/>
      <c r="U216" s="41"/>
      <c r="V216" s="41"/>
      <c r="W216" s="41"/>
      <c r="X216" s="41"/>
      <c r="Y216" s="41"/>
      <c r="Z216" s="41"/>
      <c r="AA216" s="41"/>
    </row>
    <row r="217" spans="1:27" x14ac:dyDescent="0.3">
      <c r="A217" s="41"/>
      <c r="B217" s="41"/>
      <c r="C217" s="41"/>
      <c r="D217" s="41"/>
      <c r="E217" s="41"/>
      <c r="F217" s="41"/>
      <c r="G217" s="41"/>
      <c r="H217" s="41"/>
      <c r="I217" s="41"/>
      <c r="J217" s="41"/>
      <c r="K217" s="41"/>
      <c r="L217" s="41"/>
      <c r="M217" s="41"/>
      <c r="N217" s="41"/>
      <c r="O217" s="41"/>
      <c r="P217" s="41"/>
      <c r="Q217" s="41"/>
      <c r="R217" s="41"/>
      <c r="S217" s="41"/>
      <c r="T217" s="41"/>
      <c r="U217" s="41"/>
      <c r="V217" s="41"/>
      <c r="W217" s="41"/>
      <c r="X217" s="41"/>
      <c r="Y217" s="41"/>
      <c r="Z217" s="41"/>
      <c r="AA217" s="41"/>
    </row>
    <row r="218" spans="1:27" x14ac:dyDescent="0.3">
      <c r="A218" s="41"/>
      <c r="B218" s="41"/>
      <c r="C218" s="41"/>
      <c r="D218" s="41"/>
      <c r="E218" s="41"/>
      <c r="F218" s="41"/>
      <c r="G218" s="41"/>
      <c r="H218" s="41"/>
      <c r="I218" s="41"/>
      <c r="J218" s="41"/>
      <c r="K218" s="41"/>
      <c r="L218" s="41"/>
      <c r="M218" s="41"/>
      <c r="N218" s="41"/>
      <c r="O218" s="41"/>
      <c r="P218" s="41"/>
      <c r="Q218" s="41"/>
      <c r="R218" s="41"/>
      <c r="S218" s="41"/>
      <c r="T218" s="41"/>
      <c r="U218" s="41"/>
      <c r="V218" s="41"/>
      <c r="W218" s="41"/>
      <c r="X218" s="41"/>
      <c r="Y218" s="41"/>
      <c r="Z218" s="41"/>
      <c r="AA218" s="41"/>
    </row>
    <row r="219" spans="1:27" x14ac:dyDescent="0.3">
      <c r="A219" s="41"/>
      <c r="B219" s="41"/>
      <c r="C219" s="41"/>
      <c r="D219" s="41"/>
      <c r="E219" s="41"/>
      <c r="F219" s="41"/>
      <c r="G219" s="41"/>
      <c r="H219" s="41"/>
      <c r="I219" s="41"/>
      <c r="J219" s="41"/>
      <c r="K219" s="41"/>
      <c r="L219" s="41"/>
      <c r="M219" s="41"/>
      <c r="N219" s="41"/>
      <c r="O219" s="41"/>
      <c r="P219" s="41"/>
      <c r="Q219" s="41"/>
      <c r="R219" s="41"/>
      <c r="S219" s="41"/>
      <c r="T219" s="41"/>
      <c r="U219" s="41"/>
      <c r="V219" s="41"/>
      <c r="W219" s="41"/>
      <c r="X219" s="41"/>
      <c r="Y219" s="41"/>
      <c r="Z219" s="41"/>
      <c r="AA219" s="41"/>
    </row>
    <row r="220" spans="1:27" x14ac:dyDescent="0.3">
      <c r="A220" s="41"/>
      <c r="B220" s="41"/>
      <c r="C220" s="41"/>
      <c r="D220" s="41"/>
      <c r="E220" s="41"/>
      <c r="F220" s="41"/>
      <c r="G220" s="41"/>
      <c r="H220" s="41"/>
      <c r="I220" s="41"/>
      <c r="J220" s="41"/>
      <c r="K220" s="41"/>
      <c r="L220" s="41"/>
      <c r="M220" s="41"/>
      <c r="N220" s="41"/>
      <c r="O220" s="41"/>
      <c r="P220" s="41"/>
      <c r="Q220" s="41"/>
      <c r="R220" s="41"/>
      <c r="S220" s="41"/>
      <c r="T220" s="41"/>
      <c r="U220" s="41"/>
      <c r="V220" s="41"/>
      <c r="W220" s="41"/>
      <c r="X220" s="41"/>
      <c r="Y220" s="41"/>
      <c r="Z220" s="41"/>
      <c r="AA220" s="41"/>
    </row>
    <row r="221" spans="1:27" x14ac:dyDescent="0.3">
      <c r="A221" s="41"/>
      <c r="B221" s="41"/>
      <c r="C221" s="41"/>
      <c r="D221" s="41"/>
      <c r="E221" s="41"/>
      <c r="F221" s="41"/>
      <c r="G221" s="41"/>
      <c r="H221" s="41"/>
      <c r="I221" s="41"/>
      <c r="J221" s="41"/>
      <c r="K221" s="41"/>
      <c r="L221" s="41"/>
      <c r="M221" s="41"/>
      <c r="N221" s="41"/>
      <c r="O221" s="41"/>
      <c r="P221" s="41"/>
      <c r="Q221" s="41"/>
      <c r="R221" s="41"/>
      <c r="S221" s="41"/>
      <c r="T221" s="41"/>
      <c r="U221" s="41"/>
      <c r="V221" s="41"/>
      <c r="W221" s="41"/>
      <c r="X221" s="41"/>
      <c r="Y221" s="41"/>
      <c r="Z221" s="41"/>
      <c r="AA221" s="41"/>
    </row>
    <row r="222" spans="1:27" x14ac:dyDescent="0.3">
      <c r="A222" s="41"/>
      <c r="B222" s="41"/>
      <c r="C222" s="41"/>
      <c r="D222" s="41"/>
      <c r="E222" s="41"/>
      <c r="F222" s="41"/>
      <c r="G222" s="41"/>
      <c r="H222" s="41"/>
      <c r="I222" s="41"/>
      <c r="J222" s="41"/>
      <c r="K222" s="41"/>
      <c r="L222" s="41"/>
      <c r="M222" s="41"/>
      <c r="N222" s="41"/>
      <c r="O222" s="41"/>
      <c r="P222" s="41"/>
      <c r="Q222" s="41"/>
      <c r="R222" s="41"/>
      <c r="S222" s="41"/>
      <c r="T222" s="41"/>
      <c r="U222" s="41"/>
      <c r="V222" s="41"/>
      <c r="W222" s="41"/>
      <c r="X222" s="41"/>
      <c r="Y222" s="41"/>
      <c r="Z222" s="41"/>
      <c r="AA222" s="41"/>
    </row>
    <row r="223" spans="1:27" x14ac:dyDescent="0.3">
      <c r="A223" s="41"/>
      <c r="B223" s="41"/>
      <c r="C223" s="41"/>
      <c r="D223" s="41"/>
      <c r="E223" s="41"/>
      <c r="F223" s="41"/>
      <c r="G223" s="41"/>
      <c r="H223" s="41"/>
      <c r="I223" s="41"/>
      <c r="J223" s="41"/>
      <c r="K223" s="41"/>
      <c r="L223" s="41"/>
      <c r="M223" s="41"/>
      <c r="N223" s="41"/>
      <c r="O223" s="41"/>
      <c r="P223" s="41"/>
      <c r="Q223" s="41"/>
      <c r="R223" s="41"/>
      <c r="S223" s="41"/>
      <c r="T223" s="41"/>
      <c r="U223" s="41"/>
      <c r="V223" s="41"/>
      <c r="W223" s="41"/>
      <c r="X223" s="41"/>
      <c r="Y223" s="41"/>
      <c r="Z223" s="41"/>
      <c r="AA223" s="41"/>
    </row>
    <row r="224" spans="1:27" x14ac:dyDescent="0.3">
      <c r="A224" s="41"/>
      <c r="B224" s="41"/>
      <c r="C224" s="41"/>
      <c r="D224" s="41"/>
      <c r="E224" s="41"/>
      <c r="F224" s="41"/>
      <c r="G224" s="41"/>
      <c r="H224" s="41"/>
      <c r="I224" s="41"/>
      <c r="J224" s="41"/>
      <c r="K224" s="41"/>
      <c r="L224" s="41"/>
      <c r="M224" s="41"/>
      <c r="N224" s="41"/>
      <c r="O224" s="41"/>
      <c r="P224" s="41"/>
      <c r="Q224" s="41"/>
      <c r="R224" s="41"/>
      <c r="S224" s="41"/>
      <c r="T224" s="41"/>
      <c r="U224" s="41"/>
      <c r="V224" s="41"/>
      <c r="W224" s="41"/>
      <c r="X224" s="41"/>
      <c r="Y224" s="41"/>
      <c r="Z224" s="41"/>
      <c r="AA224" s="41"/>
    </row>
    <row r="225" spans="1:27" x14ac:dyDescent="0.3">
      <c r="A225" s="41"/>
      <c r="B225" s="41"/>
      <c r="C225" s="41"/>
      <c r="D225" s="41"/>
      <c r="E225" s="41"/>
      <c r="F225" s="41"/>
      <c r="G225" s="41"/>
      <c r="H225" s="41"/>
      <c r="I225" s="41"/>
      <c r="J225" s="41"/>
      <c r="K225" s="41"/>
      <c r="L225" s="41"/>
      <c r="M225" s="41"/>
      <c r="N225" s="41"/>
      <c r="O225" s="41"/>
      <c r="P225" s="41"/>
      <c r="Q225" s="41"/>
      <c r="R225" s="41"/>
      <c r="S225" s="41"/>
      <c r="T225" s="41"/>
      <c r="U225" s="41"/>
      <c r="V225" s="41"/>
      <c r="W225" s="41"/>
      <c r="X225" s="41"/>
      <c r="Y225" s="41"/>
      <c r="Z225" s="41"/>
      <c r="AA225" s="41"/>
    </row>
    <row r="226" spans="1:27" x14ac:dyDescent="0.3">
      <c r="A226" s="41"/>
      <c r="B226" s="41"/>
      <c r="C226" s="41"/>
      <c r="D226" s="41"/>
      <c r="E226" s="41"/>
      <c r="F226" s="41"/>
      <c r="G226" s="41"/>
      <c r="H226" s="41"/>
      <c r="I226" s="41"/>
      <c r="J226" s="41"/>
      <c r="K226" s="41"/>
      <c r="L226" s="41"/>
      <c r="M226" s="41"/>
      <c r="N226" s="41"/>
      <c r="O226" s="41"/>
      <c r="P226" s="41"/>
      <c r="Q226" s="41"/>
      <c r="R226" s="41"/>
      <c r="S226" s="41"/>
      <c r="T226" s="41"/>
      <c r="U226" s="41"/>
      <c r="V226" s="41"/>
      <c r="W226" s="41"/>
      <c r="X226" s="41"/>
      <c r="Y226" s="41"/>
      <c r="Z226" s="41"/>
      <c r="AA226" s="41"/>
    </row>
    <row r="227" spans="1:27" x14ac:dyDescent="0.3">
      <c r="A227" s="41"/>
      <c r="B227" s="41"/>
      <c r="C227" s="41"/>
      <c r="D227" s="41"/>
      <c r="E227" s="41"/>
      <c r="F227" s="41"/>
      <c r="G227" s="41"/>
      <c r="H227" s="41"/>
      <c r="I227" s="41"/>
      <c r="J227" s="41"/>
      <c r="K227" s="41"/>
      <c r="L227" s="41"/>
      <c r="M227" s="41"/>
      <c r="N227" s="41"/>
      <c r="O227" s="41"/>
      <c r="P227" s="41"/>
      <c r="Q227" s="41"/>
      <c r="R227" s="41"/>
      <c r="S227" s="41"/>
      <c r="T227" s="41"/>
      <c r="U227" s="41"/>
      <c r="V227" s="41"/>
      <c r="W227" s="41"/>
      <c r="X227" s="41"/>
      <c r="Y227" s="41"/>
      <c r="Z227" s="41"/>
      <c r="AA227" s="41"/>
    </row>
    <row r="228" spans="1:27" x14ac:dyDescent="0.3">
      <c r="A228" s="41"/>
      <c r="B228" s="41"/>
      <c r="C228" s="41"/>
      <c r="D228" s="41"/>
      <c r="E228" s="41"/>
      <c r="F228" s="41"/>
      <c r="G228" s="41"/>
      <c r="H228" s="41"/>
      <c r="I228" s="41"/>
      <c r="J228" s="41"/>
      <c r="K228" s="41"/>
      <c r="L228" s="41"/>
      <c r="M228" s="41"/>
      <c r="N228" s="41"/>
      <c r="O228" s="41"/>
      <c r="P228" s="41"/>
      <c r="Q228" s="41"/>
      <c r="R228" s="41"/>
      <c r="S228" s="41"/>
      <c r="T228" s="41"/>
      <c r="U228" s="41"/>
      <c r="V228" s="41"/>
      <c r="W228" s="41"/>
      <c r="X228" s="41"/>
      <c r="Y228" s="41"/>
      <c r="Z228" s="41"/>
      <c r="AA228" s="41"/>
    </row>
    <row r="229" spans="1:27" x14ac:dyDescent="0.3">
      <c r="A229" s="41"/>
      <c r="B229" s="41"/>
      <c r="C229" s="41"/>
      <c r="D229" s="41"/>
      <c r="E229" s="41"/>
      <c r="F229" s="41"/>
      <c r="G229" s="41"/>
      <c r="H229" s="41"/>
      <c r="I229" s="41"/>
      <c r="J229" s="41"/>
      <c r="K229" s="41"/>
      <c r="L229" s="41"/>
      <c r="M229" s="41"/>
      <c r="N229" s="41"/>
      <c r="O229" s="41"/>
      <c r="P229" s="41"/>
      <c r="Q229" s="41"/>
      <c r="R229" s="41"/>
      <c r="S229" s="41"/>
      <c r="T229" s="41"/>
      <c r="U229" s="41"/>
      <c r="V229" s="41"/>
      <c r="W229" s="41"/>
      <c r="X229" s="41"/>
      <c r="Y229" s="41"/>
      <c r="Z229" s="41"/>
      <c r="AA229" s="41"/>
    </row>
    <row r="230" spans="1:27" x14ac:dyDescent="0.3">
      <c r="A230" s="41"/>
      <c r="B230" s="41"/>
      <c r="C230" s="41"/>
      <c r="D230" s="41"/>
      <c r="E230" s="41"/>
      <c r="F230" s="41"/>
      <c r="G230" s="41"/>
      <c r="H230" s="41"/>
      <c r="I230" s="41"/>
      <c r="J230" s="41"/>
      <c r="K230" s="41"/>
      <c r="L230" s="41"/>
      <c r="M230" s="41"/>
      <c r="N230" s="41"/>
      <c r="O230" s="41"/>
      <c r="P230" s="41"/>
      <c r="Q230" s="41"/>
      <c r="R230" s="41"/>
      <c r="S230" s="41"/>
      <c r="T230" s="41"/>
      <c r="U230" s="41"/>
      <c r="V230" s="41"/>
      <c r="W230" s="41"/>
      <c r="X230" s="41"/>
      <c r="Y230" s="41"/>
      <c r="Z230" s="41"/>
      <c r="AA230" s="41"/>
    </row>
    <row r="231" spans="1:27" x14ac:dyDescent="0.3">
      <c r="A231" s="41"/>
      <c r="B231" s="41"/>
      <c r="C231" s="41"/>
      <c r="D231" s="41"/>
      <c r="E231" s="41"/>
      <c r="F231" s="41"/>
      <c r="G231" s="41"/>
      <c r="H231" s="41"/>
      <c r="I231" s="41"/>
      <c r="J231" s="41"/>
      <c r="K231" s="41"/>
      <c r="L231" s="41"/>
      <c r="M231" s="41"/>
      <c r="N231" s="41"/>
      <c r="O231" s="41"/>
      <c r="P231" s="41"/>
      <c r="Q231" s="41"/>
      <c r="R231" s="41"/>
      <c r="S231" s="41"/>
      <c r="T231" s="41"/>
      <c r="U231" s="41"/>
      <c r="V231" s="41"/>
      <c r="W231" s="41"/>
      <c r="X231" s="41"/>
      <c r="Y231" s="41"/>
      <c r="Z231" s="41"/>
      <c r="AA231" s="41"/>
    </row>
    <row r="232" spans="1:27" x14ac:dyDescent="0.3">
      <c r="A232" s="41"/>
      <c r="B232" s="41"/>
      <c r="C232" s="41"/>
      <c r="D232" s="41"/>
      <c r="E232" s="41"/>
      <c r="F232" s="41"/>
      <c r="G232" s="41"/>
      <c r="H232" s="41"/>
      <c r="I232" s="41"/>
      <c r="J232" s="41"/>
      <c r="K232" s="41"/>
      <c r="L232" s="41"/>
      <c r="M232" s="41"/>
      <c r="N232" s="41"/>
      <c r="O232" s="41"/>
      <c r="P232" s="41"/>
      <c r="Q232" s="41"/>
      <c r="R232" s="41"/>
      <c r="S232" s="41"/>
      <c r="T232" s="41"/>
      <c r="U232" s="41"/>
      <c r="V232" s="41"/>
      <c r="W232" s="41"/>
      <c r="X232" s="41"/>
      <c r="Y232" s="41"/>
      <c r="Z232" s="41"/>
      <c r="AA232" s="41"/>
    </row>
    <row r="233" spans="1:27" x14ac:dyDescent="0.3">
      <c r="A233" s="41"/>
      <c r="B233" s="41"/>
      <c r="C233" s="41"/>
      <c r="D233" s="41"/>
      <c r="E233" s="41"/>
      <c r="F233" s="41"/>
      <c r="G233" s="41"/>
      <c r="H233" s="41"/>
      <c r="I233" s="41"/>
      <c r="J233" s="41"/>
      <c r="K233" s="41"/>
      <c r="L233" s="41"/>
      <c r="M233" s="41"/>
      <c r="N233" s="41"/>
      <c r="O233" s="41"/>
      <c r="P233" s="41"/>
      <c r="Q233" s="41"/>
      <c r="R233" s="41"/>
      <c r="S233" s="41"/>
      <c r="T233" s="41"/>
      <c r="U233" s="41"/>
      <c r="V233" s="41"/>
      <c r="W233" s="41"/>
      <c r="X233" s="41"/>
      <c r="Y233" s="41"/>
      <c r="Z233" s="41"/>
      <c r="AA233" s="41"/>
    </row>
    <row r="234" spans="1:27" x14ac:dyDescent="0.3">
      <c r="A234" s="41"/>
      <c r="B234" s="41"/>
      <c r="C234" s="41"/>
      <c r="D234" s="41"/>
      <c r="E234" s="41"/>
      <c r="F234" s="41"/>
      <c r="G234" s="41"/>
      <c r="H234" s="41"/>
      <c r="I234" s="41"/>
      <c r="J234" s="41"/>
      <c r="K234" s="41"/>
      <c r="L234" s="41"/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/>
      <c r="Y234" s="41"/>
      <c r="Z234" s="41"/>
      <c r="AA234" s="41"/>
    </row>
    <row r="235" spans="1:27" x14ac:dyDescent="0.3">
      <c r="A235" s="41"/>
      <c r="B235" s="41"/>
      <c r="C235" s="41"/>
      <c r="D235" s="41"/>
      <c r="E235" s="41"/>
      <c r="F235" s="41"/>
      <c r="G235" s="41"/>
      <c r="H235" s="41"/>
      <c r="I235" s="41"/>
      <c r="J235" s="41"/>
      <c r="K235" s="41"/>
      <c r="L235" s="41"/>
      <c r="M235" s="41"/>
      <c r="N235" s="41"/>
      <c r="O235" s="41"/>
      <c r="P235" s="41"/>
      <c r="Q235" s="41"/>
      <c r="R235" s="41"/>
      <c r="S235" s="41"/>
      <c r="T235" s="41"/>
      <c r="U235" s="41"/>
      <c r="V235" s="41"/>
      <c r="W235" s="41"/>
      <c r="X235" s="41"/>
      <c r="Y235" s="41"/>
      <c r="Z235" s="41"/>
      <c r="AA235" s="41"/>
    </row>
    <row r="236" spans="1:27" x14ac:dyDescent="0.3">
      <c r="A236" s="41"/>
      <c r="B236" s="41"/>
      <c r="C236" s="41"/>
      <c r="D236" s="41"/>
      <c r="E236" s="41"/>
      <c r="F236" s="41"/>
      <c r="G236" s="41"/>
      <c r="H236" s="41"/>
      <c r="I236" s="41"/>
      <c r="J236" s="41"/>
      <c r="K236" s="41"/>
      <c r="L236" s="41"/>
      <c r="M236" s="41"/>
      <c r="N236" s="41"/>
      <c r="O236" s="41"/>
      <c r="P236" s="41"/>
      <c r="Q236" s="41"/>
      <c r="R236" s="41"/>
      <c r="S236" s="41"/>
      <c r="T236" s="41"/>
      <c r="U236" s="41"/>
      <c r="V236" s="41"/>
      <c r="W236" s="41"/>
      <c r="X236" s="41"/>
      <c r="Y236" s="41"/>
      <c r="Z236" s="41"/>
      <c r="AA236" s="41"/>
    </row>
    <row r="237" spans="1:27" x14ac:dyDescent="0.3">
      <c r="A237" s="41"/>
      <c r="B237" s="41"/>
      <c r="C237" s="41"/>
      <c r="D237" s="41"/>
      <c r="E237" s="41"/>
      <c r="F237" s="41"/>
      <c r="G237" s="41"/>
      <c r="H237" s="41"/>
      <c r="I237" s="41"/>
      <c r="J237" s="41"/>
      <c r="K237" s="41"/>
      <c r="L237" s="41"/>
      <c r="M237" s="41"/>
      <c r="N237" s="41"/>
      <c r="O237" s="41"/>
      <c r="P237" s="41"/>
      <c r="Q237" s="41"/>
      <c r="R237" s="41"/>
      <c r="S237" s="41"/>
      <c r="T237" s="41"/>
      <c r="U237" s="41"/>
      <c r="V237" s="41"/>
      <c r="W237" s="41"/>
      <c r="X237" s="41"/>
      <c r="Y237" s="41"/>
      <c r="Z237" s="41"/>
      <c r="AA237" s="41"/>
    </row>
    <row r="238" spans="1:27" x14ac:dyDescent="0.3">
      <c r="A238" s="41"/>
      <c r="B238" s="41"/>
      <c r="C238" s="41"/>
      <c r="D238" s="41"/>
      <c r="E238" s="41"/>
      <c r="F238" s="41"/>
      <c r="G238" s="41"/>
      <c r="H238" s="41"/>
      <c r="I238" s="41"/>
      <c r="J238" s="41"/>
      <c r="K238" s="41"/>
      <c r="L238" s="41"/>
      <c r="M238" s="41"/>
      <c r="N238" s="41"/>
      <c r="O238" s="41"/>
      <c r="P238" s="41"/>
      <c r="Q238" s="41"/>
      <c r="R238" s="41"/>
      <c r="S238" s="41"/>
      <c r="T238" s="41"/>
      <c r="U238" s="41"/>
      <c r="V238" s="41"/>
      <c r="W238" s="41"/>
      <c r="X238" s="41"/>
      <c r="Y238" s="41"/>
      <c r="Z238" s="41"/>
      <c r="AA238" s="41"/>
    </row>
    <row r="239" spans="1:27" x14ac:dyDescent="0.3">
      <c r="A239" s="41"/>
      <c r="B239" s="41"/>
      <c r="C239" s="41"/>
      <c r="D239" s="41"/>
      <c r="E239" s="41"/>
      <c r="F239" s="41"/>
      <c r="G239" s="41"/>
      <c r="H239" s="41"/>
      <c r="I239" s="41"/>
      <c r="J239" s="41"/>
      <c r="K239" s="41"/>
      <c r="L239" s="41"/>
      <c r="M239" s="41"/>
      <c r="N239" s="41"/>
      <c r="O239" s="41"/>
      <c r="P239" s="41"/>
      <c r="Q239" s="41"/>
      <c r="R239" s="41"/>
      <c r="S239" s="41"/>
      <c r="T239" s="41"/>
      <c r="U239" s="41"/>
      <c r="V239" s="41"/>
      <c r="W239" s="41"/>
      <c r="X239" s="41"/>
      <c r="Y239" s="41"/>
      <c r="Z239" s="41"/>
      <c r="AA239" s="41"/>
    </row>
    <row r="240" spans="1:27" x14ac:dyDescent="0.3">
      <c r="A240" s="41"/>
      <c r="B240" s="41"/>
      <c r="C240" s="41"/>
      <c r="D240" s="41"/>
      <c r="E240" s="41"/>
      <c r="F240" s="41"/>
      <c r="G240" s="41"/>
      <c r="H240" s="41"/>
      <c r="I240" s="41"/>
      <c r="J240" s="41"/>
      <c r="K240" s="41"/>
      <c r="L240" s="41"/>
      <c r="M240" s="41"/>
      <c r="N240" s="41"/>
      <c r="O240" s="41"/>
      <c r="P240" s="41"/>
      <c r="Q240" s="41"/>
      <c r="R240" s="41"/>
      <c r="S240" s="41"/>
      <c r="T240" s="41"/>
      <c r="U240" s="41"/>
      <c r="V240" s="41"/>
      <c r="W240" s="41"/>
      <c r="X240" s="41"/>
      <c r="Y240" s="41"/>
      <c r="Z240" s="41"/>
      <c r="AA240" s="41"/>
    </row>
    <row r="241" spans="1:27" x14ac:dyDescent="0.3">
      <c r="A241" s="41"/>
      <c r="B241" s="41"/>
      <c r="C241" s="41"/>
      <c r="D241" s="41"/>
      <c r="E241" s="41"/>
      <c r="F241" s="41"/>
      <c r="G241" s="41"/>
      <c r="H241" s="41"/>
      <c r="I241" s="41"/>
      <c r="J241" s="41"/>
      <c r="K241" s="41"/>
      <c r="L241" s="41"/>
      <c r="M241" s="41"/>
      <c r="N241" s="41"/>
      <c r="O241" s="41"/>
      <c r="P241" s="41"/>
      <c r="Q241" s="41"/>
      <c r="R241" s="41"/>
      <c r="S241" s="41"/>
      <c r="T241" s="41"/>
      <c r="U241" s="41"/>
      <c r="V241" s="41"/>
      <c r="W241" s="41"/>
      <c r="X241" s="41"/>
      <c r="Y241" s="41"/>
      <c r="Z241" s="41"/>
      <c r="AA241" s="41"/>
    </row>
    <row r="242" spans="1:27" x14ac:dyDescent="0.3">
      <c r="A242" s="41"/>
      <c r="B242" s="41"/>
      <c r="C242" s="41"/>
      <c r="D242" s="41"/>
      <c r="E242" s="41"/>
      <c r="F242" s="41"/>
      <c r="G242" s="41"/>
      <c r="H242" s="41"/>
      <c r="I242" s="41"/>
      <c r="J242" s="41"/>
      <c r="K242" s="41"/>
      <c r="L242" s="41"/>
      <c r="M242" s="41"/>
      <c r="N242" s="41"/>
      <c r="O242" s="41"/>
      <c r="P242" s="41"/>
      <c r="Q242" s="41"/>
      <c r="R242" s="41"/>
      <c r="S242" s="41"/>
      <c r="T242" s="41"/>
      <c r="U242" s="41"/>
      <c r="V242" s="41"/>
      <c r="W242" s="41"/>
      <c r="X242" s="41"/>
      <c r="Y242" s="41"/>
      <c r="Z242" s="41"/>
      <c r="AA242" s="41"/>
    </row>
    <row r="243" spans="1:27" x14ac:dyDescent="0.3">
      <c r="A243" s="41"/>
      <c r="B243" s="41"/>
      <c r="C243" s="41"/>
      <c r="D243" s="41"/>
      <c r="E243" s="41"/>
      <c r="F243" s="41"/>
      <c r="G243" s="41"/>
      <c r="H243" s="41"/>
      <c r="I243" s="41"/>
      <c r="J243" s="41"/>
      <c r="K243" s="41"/>
      <c r="L243" s="41"/>
      <c r="M243" s="41"/>
      <c r="N243" s="41"/>
      <c r="O243" s="41"/>
      <c r="P243" s="41"/>
      <c r="Q243" s="41"/>
      <c r="R243" s="41"/>
      <c r="S243" s="41"/>
      <c r="T243" s="41"/>
      <c r="U243" s="41"/>
      <c r="V243" s="41"/>
      <c r="W243" s="41"/>
      <c r="X243" s="41"/>
      <c r="Y243" s="41"/>
      <c r="Z243" s="41"/>
      <c r="AA243" s="41"/>
    </row>
    <row r="244" spans="1:27" x14ac:dyDescent="0.3">
      <c r="A244" s="41"/>
      <c r="B244" s="41"/>
      <c r="C244" s="41"/>
      <c r="D244" s="41"/>
      <c r="E244" s="41"/>
      <c r="F244" s="41"/>
      <c r="G244" s="41"/>
      <c r="H244" s="41"/>
      <c r="I244" s="41"/>
      <c r="J244" s="41"/>
      <c r="K244" s="41"/>
      <c r="L244" s="41"/>
      <c r="M244" s="41"/>
      <c r="N244" s="41"/>
      <c r="O244" s="41"/>
      <c r="P244" s="41"/>
      <c r="Q244" s="41"/>
      <c r="R244" s="41"/>
      <c r="S244" s="41"/>
      <c r="T244" s="41"/>
      <c r="U244" s="41"/>
      <c r="V244" s="41"/>
      <c r="W244" s="41"/>
      <c r="X244" s="41"/>
      <c r="Y244" s="41"/>
      <c r="Z244" s="41"/>
      <c r="AA244" s="41"/>
    </row>
    <row r="245" spans="1:27" x14ac:dyDescent="0.3">
      <c r="A245" s="41"/>
      <c r="B245" s="41"/>
      <c r="C245" s="41"/>
      <c r="D245" s="41"/>
      <c r="E245" s="41"/>
      <c r="F245" s="41"/>
      <c r="G245" s="41"/>
      <c r="H245" s="41"/>
      <c r="I245" s="41"/>
      <c r="J245" s="41"/>
      <c r="K245" s="41"/>
      <c r="L245" s="41"/>
      <c r="M245" s="41"/>
      <c r="N245" s="41"/>
      <c r="O245" s="41"/>
      <c r="P245" s="41"/>
      <c r="Q245" s="41"/>
      <c r="R245" s="41"/>
      <c r="S245" s="41"/>
      <c r="T245" s="41"/>
      <c r="U245" s="41"/>
      <c r="V245" s="41"/>
      <c r="W245" s="41"/>
      <c r="X245" s="41"/>
      <c r="Y245" s="41"/>
      <c r="Z245" s="41"/>
      <c r="AA245" s="41"/>
    </row>
    <row r="246" spans="1:27" x14ac:dyDescent="0.3">
      <c r="A246" s="41"/>
      <c r="B246" s="41"/>
      <c r="C246" s="41"/>
      <c r="D246" s="41"/>
      <c r="E246" s="41"/>
      <c r="F246" s="41"/>
      <c r="G246" s="41"/>
      <c r="H246" s="41"/>
      <c r="I246" s="41"/>
      <c r="J246" s="41"/>
      <c r="K246" s="41"/>
      <c r="L246" s="41"/>
      <c r="M246" s="41"/>
      <c r="N246" s="41"/>
      <c r="O246" s="41"/>
      <c r="P246" s="41"/>
      <c r="Q246" s="41"/>
      <c r="R246" s="41"/>
      <c r="S246" s="41"/>
      <c r="T246" s="41"/>
      <c r="U246" s="41"/>
      <c r="V246" s="41"/>
      <c r="W246" s="41"/>
      <c r="X246" s="41"/>
      <c r="Y246" s="41"/>
      <c r="Z246" s="41"/>
      <c r="AA246" s="41"/>
    </row>
    <row r="247" spans="1:27" x14ac:dyDescent="0.3">
      <c r="A247" s="41"/>
      <c r="B247" s="41"/>
      <c r="C247" s="41"/>
      <c r="D247" s="41"/>
      <c r="E247" s="41"/>
      <c r="F247" s="41"/>
      <c r="G247" s="41"/>
      <c r="H247" s="41"/>
      <c r="I247" s="41"/>
      <c r="J247" s="41"/>
      <c r="K247" s="41"/>
      <c r="L247" s="41"/>
      <c r="M247" s="41"/>
      <c r="N247" s="41"/>
      <c r="O247" s="41"/>
      <c r="P247" s="41"/>
      <c r="Q247" s="41"/>
      <c r="R247" s="41"/>
      <c r="S247" s="41"/>
      <c r="T247" s="41"/>
      <c r="U247" s="41"/>
      <c r="V247" s="41"/>
      <c r="W247" s="41"/>
      <c r="X247" s="41"/>
      <c r="Y247" s="41"/>
      <c r="Z247" s="41"/>
      <c r="AA247" s="41"/>
    </row>
    <row r="248" spans="1:27" x14ac:dyDescent="0.3">
      <c r="A248" s="41"/>
      <c r="B248" s="41"/>
      <c r="C248" s="41"/>
      <c r="D248" s="41"/>
      <c r="E248" s="41"/>
      <c r="F248" s="41"/>
      <c r="G248" s="41"/>
      <c r="H248" s="41"/>
      <c r="I248" s="41"/>
      <c r="J248" s="41"/>
      <c r="K248" s="41"/>
      <c r="L248" s="41"/>
      <c r="M248" s="41"/>
      <c r="N248" s="41"/>
      <c r="O248" s="41"/>
      <c r="P248" s="41"/>
      <c r="Q248" s="41"/>
      <c r="R248" s="41"/>
      <c r="S248" s="41"/>
      <c r="T248" s="41"/>
      <c r="U248" s="41"/>
      <c r="V248" s="41"/>
      <c r="W248" s="41"/>
      <c r="X248" s="41"/>
      <c r="Y248" s="41"/>
      <c r="Z248" s="41"/>
      <c r="AA248" s="41"/>
    </row>
    <row r="249" spans="1:27" x14ac:dyDescent="0.3">
      <c r="A249" s="41"/>
      <c r="B249" s="41"/>
      <c r="C249" s="41"/>
      <c r="D249" s="41"/>
      <c r="E249" s="41"/>
      <c r="F249" s="41"/>
      <c r="G249" s="41"/>
      <c r="H249" s="41"/>
      <c r="I249" s="41"/>
      <c r="J249" s="41"/>
      <c r="K249" s="41"/>
      <c r="L249" s="41"/>
      <c r="M249" s="41"/>
      <c r="N249" s="41"/>
      <c r="O249" s="41"/>
      <c r="P249" s="41"/>
      <c r="Q249" s="41"/>
      <c r="R249" s="41"/>
      <c r="S249" s="41"/>
      <c r="T249" s="41"/>
      <c r="U249" s="41"/>
      <c r="V249" s="41"/>
      <c r="W249" s="41"/>
      <c r="X249" s="41"/>
      <c r="Y249" s="41"/>
      <c r="Z249" s="41"/>
      <c r="AA249" s="41"/>
    </row>
    <row r="250" spans="1:27" x14ac:dyDescent="0.3">
      <c r="A250" s="41"/>
      <c r="B250" s="41"/>
      <c r="C250" s="41"/>
      <c r="D250" s="41"/>
      <c r="E250" s="41"/>
      <c r="F250" s="41"/>
      <c r="G250" s="41"/>
      <c r="H250" s="41"/>
      <c r="I250" s="41"/>
      <c r="J250" s="41"/>
      <c r="K250" s="41"/>
      <c r="L250" s="41"/>
      <c r="M250" s="41"/>
      <c r="N250" s="41"/>
      <c r="O250" s="41"/>
      <c r="P250" s="41"/>
      <c r="Q250" s="41"/>
      <c r="R250" s="41"/>
      <c r="S250" s="41"/>
      <c r="T250" s="41"/>
      <c r="U250" s="41"/>
      <c r="V250" s="41"/>
      <c r="W250" s="41"/>
      <c r="X250" s="41"/>
      <c r="Y250" s="41"/>
      <c r="Z250" s="41"/>
      <c r="AA250" s="41"/>
    </row>
    <row r="251" spans="1:27" x14ac:dyDescent="0.3">
      <c r="A251" s="41"/>
      <c r="B251" s="41"/>
      <c r="C251" s="41"/>
      <c r="D251" s="41"/>
      <c r="E251" s="41"/>
      <c r="F251" s="41"/>
      <c r="G251" s="41"/>
      <c r="H251" s="41"/>
      <c r="I251" s="41"/>
      <c r="J251" s="41"/>
      <c r="K251" s="41"/>
      <c r="L251" s="41"/>
      <c r="M251" s="41"/>
      <c r="N251" s="41"/>
      <c r="O251" s="41"/>
      <c r="P251" s="41"/>
      <c r="Q251" s="41"/>
      <c r="R251" s="41"/>
      <c r="S251" s="41"/>
      <c r="T251" s="41"/>
      <c r="U251" s="41"/>
      <c r="V251" s="41"/>
      <c r="W251" s="41"/>
      <c r="X251" s="41"/>
      <c r="Y251" s="41"/>
      <c r="Z251" s="41"/>
      <c r="AA251" s="41"/>
    </row>
    <row r="252" spans="1:27" x14ac:dyDescent="0.3">
      <c r="A252" s="41"/>
      <c r="B252" s="41"/>
      <c r="C252" s="41"/>
      <c r="D252" s="41"/>
      <c r="E252" s="41"/>
      <c r="F252" s="41"/>
      <c r="G252" s="41"/>
      <c r="H252" s="41"/>
      <c r="I252" s="41"/>
      <c r="J252" s="41"/>
      <c r="K252" s="41"/>
      <c r="L252" s="41"/>
      <c r="M252" s="41"/>
      <c r="N252" s="41"/>
      <c r="O252" s="41"/>
      <c r="P252" s="41"/>
      <c r="Q252" s="41"/>
      <c r="R252" s="41"/>
      <c r="S252" s="41"/>
      <c r="T252" s="41"/>
      <c r="U252" s="41"/>
      <c r="V252" s="41"/>
      <c r="W252" s="41"/>
      <c r="X252" s="41"/>
      <c r="Y252" s="41"/>
      <c r="Z252" s="41"/>
      <c r="AA252" s="41"/>
    </row>
    <row r="253" spans="1:27" x14ac:dyDescent="0.3">
      <c r="A253" s="41"/>
      <c r="B253" s="41"/>
      <c r="C253" s="41"/>
      <c r="D253" s="41"/>
      <c r="E253" s="41"/>
      <c r="F253" s="41"/>
      <c r="G253" s="41"/>
      <c r="H253" s="41"/>
      <c r="I253" s="41"/>
      <c r="J253" s="41"/>
      <c r="K253" s="41"/>
      <c r="L253" s="41"/>
      <c r="M253" s="41"/>
      <c r="N253" s="41"/>
      <c r="O253" s="41"/>
      <c r="P253" s="41"/>
      <c r="Q253" s="41"/>
      <c r="R253" s="41"/>
      <c r="S253" s="41"/>
      <c r="T253" s="41"/>
      <c r="U253" s="41"/>
      <c r="V253" s="41"/>
      <c r="W253" s="41"/>
      <c r="X253" s="41"/>
      <c r="Y253" s="41"/>
      <c r="Z253" s="41"/>
      <c r="AA253" s="41"/>
    </row>
    <row r="254" spans="1:27" x14ac:dyDescent="0.3">
      <c r="A254" s="41"/>
      <c r="B254" s="41"/>
      <c r="C254" s="41"/>
      <c r="D254" s="41"/>
      <c r="E254" s="41"/>
      <c r="F254" s="41"/>
      <c r="G254" s="41"/>
      <c r="H254" s="41"/>
      <c r="I254" s="41"/>
      <c r="J254" s="41"/>
      <c r="K254" s="41"/>
      <c r="L254" s="41"/>
      <c r="M254" s="41"/>
      <c r="N254" s="41"/>
      <c r="O254" s="41"/>
      <c r="P254" s="41"/>
      <c r="Q254" s="41"/>
      <c r="R254" s="41"/>
      <c r="S254" s="41"/>
      <c r="T254" s="41"/>
      <c r="U254" s="41"/>
      <c r="V254" s="41"/>
      <c r="W254" s="41"/>
      <c r="X254" s="41"/>
      <c r="Y254" s="41"/>
      <c r="Z254" s="41"/>
      <c r="AA254" s="41"/>
    </row>
    <row r="255" spans="1:27" x14ac:dyDescent="0.3">
      <c r="A255" s="41"/>
      <c r="B255" s="41"/>
      <c r="C255" s="41"/>
      <c r="D255" s="41"/>
      <c r="E255" s="41"/>
      <c r="F255" s="41"/>
      <c r="G255" s="41"/>
      <c r="H255" s="41"/>
      <c r="I255" s="41"/>
      <c r="J255" s="41"/>
      <c r="K255" s="41"/>
      <c r="L255" s="41"/>
      <c r="M255" s="41"/>
      <c r="N255" s="41"/>
      <c r="O255" s="41"/>
      <c r="P255" s="41"/>
      <c r="Q255" s="41"/>
      <c r="R255" s="41"/>
      <c r="S255" s="41"/>
      <c r="T255" s="41"/>
      <c r="U255" s="41"/>
      <c r="V255" s="41"/>
      <c r="W255" s="41"/>
      <c r="X255" s="41"/>
      <c r="Y255" s="41"/>
      <c r="Z255" s="41"/>
      <c r="AA255" s="41"/>
    </row>
    <row r="256" spans="1:27" x14ac:dyDescent="0.3">
      <c r="A256" s="41"/>
      <c r="B256" s="41"/>
      <c r="C256" s="41"/>
      <c r="D256" s="41"/>
      <c r="E256" s="41"/>
      <c r="F256" s="41"/>
      <c r="G256" s="41"/>
      <c r="H256" s="41"/>
      <c r="I256" s="41"/>
      <c r="J256" s="41"/>
      <c r="K256" s="41"/>
      <c r="L256" s="41"/>
      <c r="M256" s="41"/>
      <c r="N256" s="41"/>
      <c r="O256" s="41"/>
      <c r="P256" s="41"/>
      <c r="Q256" s="41"/>
      <c r="R256" s="41"/>
      <c r="S256" s="41"/>
      <c r="T256" s="41"/>
      <c r="U256" s="41"/>
      <c r="V256" s="41"/>
      <c r="W256" s="41"/>
      <c r="X256" s="41"/>
      <c r="Y256" s="41"/>
      <c r="Z256" s="41"/>
      <c r="AA256" s="41"/>
    </row>
    <row r="257" spans="1:27" x14ac:dyDescent="0.3">
      <c r="A257" s="41"/>
      <c r="B257" s="41"/>
      <c r="C257" s="41"/>
      <c r="D257" s="41"/>
      <c r="E257" s="41"/>
      <c r="F257" s="41"/>
      <c r="G257" s="41"/>
      <c r="H257" s="41"/>
      <c r="I257" s="41"/>
      <c r="J257" s="41"/>
      <c r="K257" s="41"/>
      <c r="L257" s="41"/>
      <c r="M257" s="41"/>
      <c r="N257" s="41"/>
      <c r="O257" s="41"/>
      <c r="P257" s="41"/>
      <c r="Q257" s="41"/>
      <c r="R257" s="41"/>
      <c r="S257" s="41"/>
      <c r="T257" s="41"/>
      <c r="U257" s="41"/>
      <c r="V257" s="41"/>
      <c r="W257" s="41"/>
      <c r="X257" s="41"/>
      <c r="Y257" s="41"/>
      <c r="Z257" s="41"/>
      <c r="AA257" s="41"/>
    </row>
    <row r="258" spans="1:27" x14ac:dyDescent="0.3">
      <c r="A258" s="41"/>
      <c r="B258" s="41"/>
      <c r="C258" s="41"/>
      <c r="D258" s="41"/>
      <c r="E258" s="41"/>
      <c r="F258" s="41"/>
      <c r="G258" s="41"/>
      <c r="H258" s="41"/>
      <c r="I258" s="41"/>
      <c r="J258" s="41"/>
      <c r="K258" s="41"/>
      <c r="L258" s="41"/>
      <c r="M258" s="41"/>
      <c r="N258" s="41"/>
      <c r="O258" s="41"/>
      <c r="P258" s="41"/>
      <c r="Q258" s="41"/>
      <c r="R258" s="41"/>
      <c r="S258" s="41"/>
      <c r="T258" s="41"/>
      <c r="U258" s="41"/>
      <c r="V258" s="41"/>
      <c r="W258" s="41"/>
      <c r="X258" s="41"/>
      <c r="Y258" s="41"/>
      <c r="Z258" s="41"/>
      <c r="AA258" s="41"/>
    </row>
    <row r="259" spans="1:27" x14ac:dyDescent="0.3">
      <c r="A259" s="41"/>
      <c r="B259" s="41"/>
      <c r="C259" s="41"/>
      <c r="D259" s="41"/>
      <c r="E259" s="41"/>
      <c r="F259" s="41"/>
      <c r="G259" s="41"/>
      <c r="H259" s="41"/>
      <c r="I259" s="41"/>
      <c r="J259" s="41"/>
      <c r="K259" s="41"/>
      <c r="L259" s="41"/>
      <c r="M259" s="41"/>
      <c r="N259" s="41"/>
      <c r="O259" s="41"/>
      <c r="P259" s="41"/>
      <c r="Q259" s="41"/>
      <c r="R259" s="41"/>
      <c r="S259" s="41"/>
      <c r="T259" s="41"/>
      <c r="U259" s="41"/>
      <c r="V259" s="41"/>
      <c r="W259" s="41"/>
      <c r="X259" s="41"/>
      <c r="Y259" s="41"/>
      <c r="Z259" s="41"/>
      <c r="AA259" s="41"/>
    </row>
    <row r="260" spans="1:27" x14ac:dyDescent="0.3">
      <c r="A260" s="41"/>
      <c r="B260" s="41"/>
      <c r="C260" s="41"/>
      <c r="D260" s="41"/>
      <c r="E260" s="41"/>
      <c r="F260" s="41"/>
      <c r="G260" s="41"/>
      <c r="H260" s="41"/>
      <c r="I260" s="41"/>
      <c r="J260" s="41"/>
      <c r="K260" s="41"/>
      <c r="L260" s="41"/>
      <c r="M260" s="41"/>
      <c r="N260" s="41"/>
      <c r="O260" s="41"/>
      <c r="P260" s="41"/>
      <c r="Q260" s="41"/>
      <c r="R260" s="41"/>
      <c r="S260" s="41"/>
      <c r="T260" s="41"/>
      <c r="U260" s="41"/>
      <c r="V260" s="41"/>
      <c r="W260" s="41"/>
      <c r="X260" s="41"/>
      <c r="Y260" s="41"/>
      <c r="Z260" s="41"/>
      <c r="AA260" s="41"/>
    </row>
    <row r="261" spans="1:27" x14ac:dyDescent="0.3">
      <c r="A261" s="41"/>
      <c r="B261" s="41"/>
      <c r="C261" s="41"/>
      <c r="D261" s="41"/>
      <c r="E261" s="41"/>
      <c r="F261" s="41"/>
      <c r="G261" s="41"/>
      <c r="H261" s="41"/>
      <c r="I261" s="41"/>
      <c r="J261" s="41"/>
      <c r="K261" s="41"/>
      <c r="L261" s="41"/>
      <c r="M261" s="41"/>
      <c r="N261" s="41"/>
      <c r="O261" s="41"/>
      <c r="P261" s="41"/>
      <c r="Q261" s="41"/>
      <c r="R261" s="41"/>
      <c r="S261" s="41"/>
      <c r="T261" s="41"/>
      <c r="U261" s="41"/>
      <c r="V261" s="41"/>
      <c r="W261" s="41"/>
      <c r="X261" s="41"/>
      <c r="Y261" s="41"/>
      <c r="Z261" s="41"/>
      <c r="AA261" s="41"/>
    </row>
    <row r="262" spans="1:27" x14ac:dyDescent="0.3">
      <c r="A262" s="41"/>
      <c r="B262" s="41"/>
      <c r="C262" s="41"/>
      <c r="D262" s="41"/>
      <c r="E262" s="41"/>
      <c r="F262" s="41"/>
      <c r="G262" s="41"/>
      <c r="H262" s="41"/>
      <c r="I262" s="41"/>
      <c r="J262" s="41"/>
      <c r="K262" s="41"/>
      <c r="L262" s="41"/>
      <c r="M262" s="41"/>
      <c r="N262" s="41"/>
      <c r="O262" s="41"/>
      <c r="P262" s="41"/>
      <c r="Q262" s="41"/>
      <c r="R262" s="41"/>
      <c r="S262" s="41"/>
      <c r="T262" s="41"/>
      <c r="U262" s="41"/>
      <c r="V262" s="41"/>
      <c r="W262" s="41"/>
      <c r="X262" s="41"/>
      <c r="Y262" s="41"/>
      <c r="Z262" s="41"/>
      <c r="AA262" s="41"/>
    </row>
    <row r="263" spans="1:27" x14ac:dyDescent="0.3">
      <c r="A263" s="41"/>
      <c r="B263" s="41"/>
      <c r="C263" s="41"/>
      <c r="D263" s="41"/>
      <c r="E263" s="41"/>
      <c r="F263" s="41"/>
      <c r="G263" s="41"/>
      <c r="H263" s="41"/>
      <c r="I263" s="41"/>
      <c r="J263" s="41"/>
      <c r="K263" s="41"/>
      <c r="L263" s="41"/>
      <c r="M263" s="41"/>
      <c r="N263" s="41"/>
      <c r="O263" s="41"/>
      <c r="P263" s="41"/>
      <c r="Q263" s="41"/>
      <c r="R263" s="41"/>
      <c r="S263" s="41"/>
      <c r="T263" s="41"/>
      <c r="U263" s="41"/>
      <c r="V263" s="41"/>
      <c r="W263" s="41"/>
      <c r="X263" s="41"/>
      <c r="Y263" s="41"/>
      <c r="Z263" s="41"/>
      <c r="AA263" s="41"/>
    </row>
    <row r="264" spans="1:27" x14ac:dyDescent="0.3">
      <c r="A264" s="41"/>
      <c r="B264" s="41"/>
      <c r="C264" s="41"/>
      <c r="D264" s="41"/>
      <c r="E264" s="41"/>
      <c r="F264" s="41"/>
      <c r="G264" s="41"/>
      <c r="H264" s="41"/>
      <c r="I264" s="41"/>
      <c r="J264" s="41"/>
      <c r="K264" s="41"/>
      <c r="L264" s="41"/>
      <c r="M264" s="41"/>
      <c r="N264" s="41"/>
      <c r="O264" s="41"/>
      <c r="P264" s="41"/>
      <c r="Q264" s="41"/>
      <c r="R264" s="41"/>
      <c r="S264" s="41"/>
      <c r="T264" s="41"/>
      <c r="U264" s="41"/>
      <c r="V264" s="41"/>
      <c r="W264" s="41"/>
      <c r="X264" s="41"/>
      <c r="Y264" s="41"/>
      <c r="Z264" s="41"/>
      <c r="AA264" s="41"/>
    </row>
    <row r="265" spans="1:27" x14ac:dyDescent="0.3">
      <c r="A265" s="41"/>
      <c r="B265" s="41"/>
      <c r="C265" s="41"/>
      <c r="D265" s="41"/>
      <c r="E265" s="41"/>
      <c r="F265" s="41"/>
      <c r="G265" s="41"/>
      <c r="H265" s="41"/>
      <c r="I265" s="41"/>
      <c r="J265" s="41"/>
      <c r="K265" s="41"/>
      <c r="L265" s="41"/>
      <c r="M265" s="41"/>
      <c r="N265" s="41"/>
      <c r="O265" s="41"/>
      <c r="P265" s="41"/>
      <c r="Q265" s="41"/>
      <c r="R265" s="41"/>
      <c r="S265" s="41"/>
      <c r="T265" s="41"/>
      <c r="U265" s="41"/>
      <c r="V265" s="41"/>
      <c r="W265" s="41"/>
      <c r="X265" s="41"/>
      <c r="Y265" s="41"/>
      <c r="Z265" s="41"/>
      <c r="AA265" s="41"/>
    </row>
    <row r="266" spans="1:27" x14ac:dyDescent="0.3">
      <c r="A266" s="41"/>
      <c r="B266" s="41"/>
      <c r="C266" s="41"/>
      <c r="D266" s="41"/>
      <c r="E266" s="41"/>
      <c r="F266" s="41"/>
      <c r="G266" s="41"/>
      <c r="H266" s="41"/>
      <c r="I266" s="41"/>
      <c r="J266" s="41"/>
      <c r="K266" s="41"/>
      <c r="L266" s="41"/>
      <c r="M266" s="41"/>
      <c r="N266" s="41"/>
      <c r="O266" s="41"/>
      <c r="P266" s="41"/>
      <c r="Q266" s="41"/>
      <c r="R266" s="41"/>
      <c r="S266" s="41"/>
      <c r="T266" s="41"/>
      <c r="U266" s="41"/>
      <c r="V266" s="41"/>
      <c r="W266" s="41"/>
      <c r="X266" s="41"/>
      <c r="Y266" s="41"/>
      <c r="Z266" s="41"/>
      <c r="AA266" s="41"/>
    </row>
    <row r="267" spans="1:27" x14ac:dyDescent="0.3">
      <c r="A267" s="41"/>
      <c r="B267" s="41"/>
      <c r="C267" s="41"/>
      <c r="D267" s="41"/>
      <c r="E267" s="41"/>
      <c r="F267" s="41"/>
      <c r="G267" s="41"/>
      <c r="H267" s="41"/>
      <c r="I267" s="41"/>
      <c r="J267" s="41"/>
      <c r="K267" s="41"/>
      <c r="L267" s="41"/>
      <c r="M267" s="41"/>
      <c r="N267" s="41"/>
      <c r="O267" s="41"/>
      <c r="P267" s="41"/>
      <c r="Q267" s="41"/>
      <c r="R267" s="41"/>
      <c r="S267" s="41"/>
      <c r="T267" s="41"/>
      <c r="U267" s="41"/>
      <c r="V267" s="41"/>
      <c r="W267" s="41"/>
      <c r="X267" s="41"/>
      <c r="Y267" s="41"/>
      <c r="Z267" s="41"/>
      <c r="AA267" s="41"/>
    </row>
    <row r="268" spans="1:27" x14ac:dyDescent="0.3">
      <c r="A268" s="41"/>
      <c r="B268" s="41"/>
      <c r="C268" s="41"/>
      <c r="D268" s="41"/>
      <c r="E268" s="41"/>
      <c r="F268" s="41"/>
      <c r="G268" s="41"/>
      <c r="H268" s="41"/>
      <c r="I268" s="41"/>
      <c r="J268" s="41"/>
      <c r="K268" s="41"/>
      <c r="L268" s="41"/>
      <c r="M268" s="41"/>
      <c r="N268" s="41"/>
      <c r="O268" s="41"/>
      <c r="P268" s="41"/>
      <c r="Q268" s="41"/>
      <c r="R268" s="41"/>
      <c r="S268" s="41"/>
      <c r="T268" s="41"/>
      <c r="U268" s="41"/>
      <c r="V268" s="41"/>
      <c r="W268" s="41"/>
      <c r="X268" s="41"/>
      <c r="Y268" s="41"/>
      <c r="Z268" s="41"/>
      <c r="AA268" s="41"/>
    </row>
    <row r="269" spans="1:27" x14ac:dyDescent="0.3">
      <c r="A269" s="41"/>
      <c r="B269" s="41"/>
      <c r="C269" s="41"/>
      <c r="D269" s="41"/>
      <c r="E269" s="41"/>
      <c r="F269" s="41"/>
      <c r="G269" s="41"/>
      <c r="H269" s="41"/>
      <c r="I269" s="41"/>
      <c r="J269" s="41"/>
      <c r="K269" s="41"/>
      <c r="L269" s="41"/>
      <c r="M269" s="41"/>
      <c r="N269" s="41"/>
      <c r="O269" s="41"/>
      <c r="P269" s="41"/>
      <c r="Q269" s="41"/>
      <c r="R269" s="41"/>
      <c r="S269" s="41"/>
      <c r="T269" s="41"/>
      <c r="U269" s="41"/>
      <c r="V269" s="41"/>
      <c r="W269" s="41"/>
      <c r="X269" s="41"/>
      <c r="Y269" s="41"/>
      <c r="Z269" s="41"/>
      <c r="AA269" s="41"/>
    </row>
    <row r="270" spans="1:27" x14ac:dyDescent="0.3">
      <c r="A270" s="41"/>
      <c r="B270" s="41"/>
      <c r="C270" s="41"/>
      <c r="D270" s="41"/>
      <c r="E270" s="41"/>
      <c r="F270" s="41"/>
      <c r="G270" s="41"/>
      <c r="H270" s="41"/>
      <c r="I270" s="41"/>
      <c r="J270" s="41"/>
      <c r="K270" s="41"/>
      <c r="L270" s="41"/>
      <c r="M270" s="41"/>
      <c r="N270" s="41"/>
      <c r="O270" s="41"/>
      <c r="P270" s="41"/>
      <c r="Q270" s="41"/>
      <c r="R270" s="41"/>
      <c r="S270" s="41"/>
      <c r="T270" s="41"/>
      <c r="U270" s="41"/>
      <c r="V270" s="41"/>
      <c r="W270" s="41"/>
      <c r="X270" s="41"/>
      <c r="Y270" s="41"/>
      <c r="Z270" s="41"/>
      <c r="AA270" s="41"/>
    </row>
    <row r="271" spans="1:27" x14ac:dyDescent="0.3">
      <c r="A271" s="41"/>
      <c r="B271" s="41"/>
      <c r="C271" s="41"/>
      <c r="D271" s="41"/>
      <c r="E271" s="41"/>
      <c r="F271" s="41"/>
      <c r="G271" s="41"/>
      <c r="H271" s="41"/>
      <c r="I271" s="41"/>
      <c r="J271" s="41"/>
      <c r="K271" s="41"/>
      <c r="L271" s="41"/>
      <c r="M271" s="41"/>
      <c r="N271" s="41"/>
      <c r="O271" s="41"/>
      <c r="P271" s="41"/>
      <c r="Q271" s="41"/>
      <c r="R271" s="41"/>
      <c r="S271" s="41"/>
      <c r="T271" s="41"/>
      <c r="U271" s="41"/>
      <c r="V271" s="41"/>
      <c r="W271" s="41"/>
      <c r="X271" s="41"/>
      <c r="Y271" s="41"/>
      <c r="Z271" s="41"/>
      <c r="AA271" s="41"/>
    </row>
    <row r="272" spans="1:27" x14ac:dyDescent="0.3">
      <c r="A272" s="41"/>
      <c r="B272" s="41"/>
      <c r="C272" s="41"/>
      <c r="D272" s="41"/>
      <c r="E272" s="41"/>
      <c r="F272" s="41"/>
      <c r="G272" s="41"/>
      <c r="H272" s="41"/>
      <c r="I272" s="41"/>
      <c r="J272" s="41"/>
      <c r="K272" s="41"/>
      <c r="L272" s="41"/>
      <c r="M272" s="41"/>
      <c r="N272" s="41"/>
      <c r="O272" s="41"/>
      <c r="P272" s="41"/>
      <c r="Q272" s="41"/>
      <c r="R272" s="41"/>
      <c r="S272" s="41"/>
      <c r="T272" s="41"/>
      <c r="U272" s="41"/>
      <c r="V272" s="41"/>
      <c r="W272" s="41"/>
      <c r="X272" s="41"/>
      <c r="Y272" s="41"/>
      <c r="Z272" s="41"/>
      <c r="AA272" s="41"/>
    </row>
    <row r="273" spans="1:27" x14ac:dyDescent="0.3">
      <c r="A273" s="41"/>
      <c r="B273" s="41"/>
      <c r="C273" s="41"/>
      <c r="D273" s="41"/>
      <c r="E273" s="41"/>
      <c r="F273" s="41"/>
      <c r="G273" s="41"/>
      <c r="H273" s="41"/>
      <c r="I273" s="41"/>
      <c r="J273" s="41"/>
      <c r="K273" s="41"/>
      <c r="L273" s="41"/>
      <c r="M273" s="41"/>
      <c r="N273" s="41"/>
      <c r="O273" s="41"/>
      <c r="P273" s="41"/>
      <c r="Q273" s="41"/>
      <c r="R273" s="41"/>
      <c r="S273" s="41"/>
      <c r="T273" s="41"/>
      <c r="U273" s="41"/>
      <c r="V273" s="41"/>
      <c r="W273" s="41"/>
      <c r="X273" s="41"/>
      <c r="Y273" s="41"/>
      <c r="Z273" s="41"/>
      <c r="AA273" s="41"/>
    </row>
    <row r="274" spans="1:27" x14ac:dyDescent="0.3">
      <c r="A274" s="41"/>
      <c r="B274" s="41"/>
      <c r="C274" s="41"/>
      <c r="D274" s="41"/>
      <c r="E274" s="41"/>
      <c r="F274" s="41"/>
      <c r="G274" s="41"/>
      <c r="H274" s="41"/>
      <c r="I274" s="41"/>
      <c r="J274" s="41"/>
      <c r="K274" s="41"/>
      <c r="L274" s="41"/>
      <c r="M274" s="41"/>
      <c r="N274" s="41"/>
      <c r="O274" s="41"/>
      <c r="P274" s="41"/>
      <c r="Q274" s="41"/>
      <c r="R274" s="41"/>
      <c r="S274" s="41"/>
      <c r="T274" s="41"/>
      <c r="U274" s="41"/>
      <c r="V274" s="41"/>
      <c r="W274" s="41"/>
      <c r="X274" s="41"/>
      <c r="Y274" s="41"/>
      <c r="Z274" s="41"/>
      <c r="AA274" s="41"/>
    </row>
    <row r="275" spans="1:27" x14ac:dyDescent="0.3">
      <c r="A275" s="41"/>
      <c r="B275" s="41"/>
      <c r="C275" s="41"/>
      <c r="D275" s="41"/>
      <c r="E275" s="41"/>
      <c r="F275" s="41"/>
      <c r="G275" s="41"/>
      <c r="H275" s="41"/>
      <c r="I275" s="41"/>
      <c r="J275" s="41"/>
      <c r="K275" s="41"/>
      <c r="L275" s="41"/>
      <c r="M275" s="41"/>
      <c r="N275" s="41"/>
      <c r="O275" s="41"/>
      <c r="P275" s="41"/>
      <c r="Q275" s="41"/>
      <c r="R275" s="41"/>
      <c r="S275" s="41"/>
      <c r="T275" s="41"/>
      <c r="U275" s="41"/>
      <c r="V275" s="41"/>
      <c r="W275" s="41"/>
      <c r="X275" s="41"/>
      <c r="Y275" s="41"/>
      <c r="Z275" s="41"/>
      <c r="AA275" s="41"/>
    </row>
    <row r="276" spans="1:27" x14ac:dyDescent="0.3">
      <c r="A276" s="41"/>
      <c r="B276" s="41"/>
      <c r="C276" s="41"/>
      <c r="D276" s="41"/>
      <c r="E276" s="41"/>
      <c r="F276" s="41"/>
      <c r="G276" s="41"/>
      <c r="H276" s="41"/>
      <c r="I276" s="41"/>
      <c r="J276" s="41"/>
      <c r="K276" s="41"/>
      <c r="L276" s="41"/>
      <c r="M276" s="41"/>
      <c r="N276" s="41"/>
      <c r="O276" s="41"/>
      <c r="P276" s="41"/>
      <c r="Q276" s="41"/>
      <c r="R276" s="41"/>
      <c r="S276" s="41"/>
      <c r="T276" s="41"/>
      <c r="U276" s="41"/>
      <c r="V276" s="41"/>
      <c r="W276" s="41"/>
      <c r="X276" s="41"/>
      <c r="Y276" s="41"/>
      <c r="Z276" s="41"/>
      <c r="AA276" s="41"/>
    </row>
    <row r="277" spans="1:27" x14ac:dyDescent="0.3">
      <c r="A277" s="41"/>
      <c r="B277" s="41"/>
      <c r="C277" s="41"/>
      <c r="D277" s="41"/>
      <c r="E277" s="41"/>
      <c r="F277" s="41"/>
      <c r="G277" s="41"/>
      <c r="H277" s="41"/>
      <c r="I277" s="41"/>
      <c r="J277" s="41"/>
      <c r="K277" s="41"/>
      <c r="L277" s="41"/>
      <c r="M277" s="41"/>
      <c r="N277" s="41"/>
      <c r="O277" s="41"/>
      <c r="P277" s="41"/>
      <c r="Q277" s="41"/>
      <c r="R277" s="41"/>
      <c r="S277" s="41"/>
      <c r="T277" s="41"/>
      <c r="U277" s="41"/>
      <c r="V277" s="41"/>
      <c r="W277" s="41"/>
      <c r="X277" s="41"/>
      <c r="Y277" s="41"/>
      <c r="Z277" s="41"/>
      <c r="AA277" s="41"/>
    </row>
    <row r="278" spans="1:27" x14ac:dyDescent="0.3">
      <c r="A278" s="41"/>
      <c r="B278" s="41"/>
      <c r="C278" s="41"/>
      <c r="D278" s="41"/>
      <c r="E278" s="41"/>
      <c r="F278" s="41"/>
      <c r="G278" s="41"/>
      <c r="H278" s="41"/>
      <c r="I278" s="41"/>
      <c r="J278" s="41"/>
      <c r="K278" s="41"/>
      <c r="L278" s="41"/>
      <c r="M278" s="41"/>
      <c r="N278" s="41"/>
      <c r="O278" s="41"/>
      <c r="P278" s="41"/>
      <c r="Q278" s="41"/>
      <c r="R278" s="41"/>
      <c r="S278" s="41"/>
      <c r="T278" s="41"/>
      <c r="U278" s="41"/>
      <c r="V278" s="41"/>
      <c r="W278" s="41"/>
      <c r="X278" s="41"/>
      <c r="Y278" s="41"/>
      <c r="Z278" s="41"/>
      <c r="AA278" s="41"/>
    </row>
    <row r="279" spans="1:27" x14ac:dyDescent="0.3">
      <c r="A279" s="41"/>
      <c r="B279" s="41"/>
      <c r="C279" s="41"/>
      <c r="D279" s="41"/>
      <c r="E279" s="41"/>
      <c r="F279" s="41"/>
      <c r="G279" s="41"/>
      <c r="H279" s="41"/>
      <c r="I279" s="41"/>
      <c r="J279" s="41"/>
      <c r="K279" s="41"/>
      <c r="L279" s="41"/>
      <c r="M279" s="41"/>
      <c r="N279" s="41"/>
      <c r="O279" s="41"/>
      <c r="P279" s="41"/>
      <c r="Q279" s="41"/>
      <c r="R279" s="41"/>
      <c r="S279" s="41"/>
      <c r="T279" s="41"/>
      <c r="U279" s="41"/>
      <c r="V279" s="41"/>
      <c r="W279" s="41"/>
      <c r="X279" s="41"/>
      <c r="Y279" s="41"/>
      <c r="Z279" s="41"/>
      <c r="AA279" s="41"/>
    </row>
    <row r="280" spans="1:27" x14ac:dyDescent="0.3">
      <c r="A280" s="41"/>
      <c r="B280" s="41"/>
      <c r="C280" s="41"/>
      <c r="D280" s="41"/>
      <c r="E280" s="41"/>
      <c r="F280" s="41"/>
      <c r="G280" s="41"/>
      <c r="H280" s="41"/>
      <c r="I280" s="41"/>
      <c r="J280" s="41"/>
      <c r="K280" s="41"/>
      <c r="L280" s="41"/>
      <c r="M280" s="41"/>
      <c r="N280" s="41"/>
      <c r="O280" s="41"/>
      <c r="P280" s="41"/>
      <c r="Q280" s="41"/>
      <c r="R280" s="41"/>
      <c r="S280" s="41"/>
      <c r="T280" s="41"/>
      <c r="U280" s="41"/>
      <c r="V280" s="41"/>
      <c r="W280" s="41"/>
      <c r="X280" s="41"/>
      <c r="Y280" s="41"/>
      <c r="Z280" s="41"/>
      <c r="AA280" s="41"/>
    </row>
    <row r="281" spans="1:27" x14ac:dyDescent="0.3">
      <c r="A281" s="41"/>
      <c r="B281" s="41"/>
      <c r="C281" s="41"/>
      <c r="D281" s="41"/>
      <c r="E281" s="41"/>
      <c r="F281" s="41"/>
      <c r="G281" s="41"/>
      <c r="H281" s="41"/>
      <c r="I281" s="41"/>
      <c r="J281" s="41"/>
      <c r="K281" s="41"/>
      <c r="L281" s="41"/>
      <c r="M281" s="41"/>
      <c r="N281" s="41"/>
      <c r="O281" s="41"/>
      <c r="P281" s="41"/>
      <c r="Q281" s="41"/>
      <c r="R281" s="41"/>
      <c r="S281" s="41"/>
      <c r="T281" s="41"/>
      <c r="U281" s="41"/>
      <c r="V281" s="41"/>
      <c r="W281" s="41"/>
      <c r="X281" s="41"/>
      <c r="Y281" s="41"/>
      <c r="Z281" s="41"/>
      <c r="AA281" s="41"/>
    </row>
    <row r="282" spans="1:27" x14ac:dyDescent="0.3">
      <c r="A282" s="41"/>
      <c r="B282" s="41"/>
      <c r="C282" s="41"/>
      <c r="D282" s="41"/>
      <c r="E282" s="41"/>
      <c r="F282" s="41"/>
      <c r="G282" s="41"/>
      <c r="H282" s="41"/>
      <c r="I282" s="41"/>
      <c r="J282" s="41"/>
      <c r="K282" s="41"/>
      <c r="L282" s="41"/>
      <c r="M282" s="41"/>
      <c r="N282" s="41"/>
      <c r="O282" s="41"/>
      <c r="P282" s="41"/>
      <c r="Q282" s="41"/>
      <c r="R282" s="41"/>
      <c r="S282" s="41"/>
      <c r="T282" s="41"/>
      <c r="U282" s="41"/>
      <c r="V282" s="41"/>
      <c r="W282" s="41"/>
      <c r="X282" s="41"/>
      <c r="Y282" s="41"/>
      <c r="Z282" s="41"/>
      <c r="AA282" s="41"/>
    </row>
    <row r="283" spans="1:27" x14ac:dyDescent="0.3">
      <c r="A283" s="41"/>
      <c r="B283" s="41"/>
      <c r="C283" s="41"/>
      <c r="D283" s="41"/>
      <c r="E283" s="41"/>
      <c r="F283" s="41"/>
      <c r="G283" s="41"/>
      <c r="H283" s="41"/>
      <c r="I283" s="41"/>
      <c r="J283" s="41"/>
      <c r="K283" s="41"/>
      <c r="L283" s="41"/>
      <c r="M283" s="41"/>
      <c r="N283" s="41"/>
      <c r="O283" s="41"/>
      <c r="P283" s="41"/>
      <c r="Q283" s="41"/>
      <c r="R283" s="41"/>
      <c r="S283" s="41"/>
      <c r="T283" s="41"/>
      <c r="U283" s="41"/>
      <c r="V283" s="41"/>
      <c r="W283" s="41"/>
      <c r="X283" s="41"/>
      <c r="Y283" s="41"/>
      <c r="Z283" s="41"/>
      <c r="AA283" s="41"/>
    </row>
    <row r="284" spans="1:27" x14ac:dyDescent="0.3">
      <c r="A284" s="41"/>
      <c r="B284" s="41"/>
      <c r="C284" s="41"/>
      <c r="D284" s="41"/>
      <c r="E284" s="41"/>
      <c r="F284" s="41"/>
      <c r="G284" s="41"/>
      <c r="H284" s="41"/>
      <c r="I284" s="41"/>
      <c r="J284" s="41"/>
      <c r="K284" s="41"/>
      <c r="L284" s="41"/>
      <c r="M284" s="41"/>
      <c r="N284" s="41"/>
      <c r="O284" s="41"/>
      <c r="P284" s="41"/>
      <c r="Q284" s="41"/>
      <c r="R284" s="41"/>
      <c r="S284" s="41"/>
      <c r="T284" s="41"/>
      <c r="U284" s="41"/>
      <c r="V284" s="41"/>
      <c r="W284" s="41"/>
      <c r="X284" s="41"/>
      <c r="Y284" s="41"/>
      <c r="Z284" s="41"/>
      <c r="AA284" s="41"/>
    </row>
    <row r="285" spans="1:27" x14ac:dyDescent="0.3">
      <c r="A285" s="41"/>
      <c r="B285" s="41"/>
      <c r="C285" s="41"/>
      <c r="D285" s="41"/>
      <c r="E285" s="41"/>
      <c r="F285" s="41"/>
      <c r="G285" s="41"/>
      <c r="H285" s="41"/>
      <c r="I285" s="41"/>
      <c r="J285" s="41"/>
      <c r="K285" s="41"/>
      <c r="L285" s="41"/>
      <c r="M285" s="41"/>
      <c r="N285" s="41"/>
      <c r="O285" s="41"/>
      <c r="P285" s="41"/>
      <c r="Q285" s="41"/>
      <c r="R285" s="41"/>
      <c r="S285" s="41"/>
      <c r="T285" s="41"/>
      <c r="U285" s="41"/>
      <c r="V285" s="41"/>
      <c r="W285" s="41"/>
      <c r="X285" s="41"/>
      <c r="Y285" s="41"/>
      <c r="Z285" s="41"/>
      <c r="AA285" s="41"/>
    </row>
    <row r="286" spans="1:27" x14ac:dyDescent="0.3">
      <c r="A286" s="41"/>
      <c r="B286" s="41"/>
      <c r="C286" s="41"/>
      <c r="D286" s="41"/>
      <c r="E286" s="41"/>
      <c r="F286" s="41"/>
      <c r="G286" s="41"/>
      <c r="H286" s="41"/>
      <c r="I286" s="41"/>
      <c r="J286" s="41"/>
      <c r="K286" s="41"/>
      <c r="L286" s="41"/>
      <c r="M286" s="41"/>
      <c r="N286" s="41"/>
      <c r="O286" s="41"/>
      <c r="P286" s="41"/>
      <c r="Q286" s="41"/>
      <c r="R286" s="41"/>
      <c r="S286" s="41"/>
      <c r="T286" s="41"/>
      <c r="U286" s="41"/>
      <c r="V286" s="41"/>
      <c r="W286" s="41"/>
      <c r="X286" s="41"/>
      <c r="Y286" s="41"/>
      <c r="Z286" s="41"/>
      <c r="AA286" s="41"/>
    </row>
    <row r="287" spans="1:27" x14ac:dyDescent="0.3">
      <c r="A287" s="41"/>
      <c r="B287" s="41"/>
      <c r="C287" s="41"/>
      <c r="D287" s="41"/>
      <c r="E287" s="41"/>
      <c r="F287" s="41"/>
      <c r="G287" s="41"/>
      <c r="H287" s="41"/>
      <c r="I287" s="41"/>
      <c r="J287" s="41"/>
      <c r="K287" s="41"/>
      <c r="L287" s="41"/>
      <c r="M287" s="41"/>
      <c r="N287" s="41"/>
      <c r="O287" s="41"/>
      <c r="P287" s="41"/>
      <c r="Q287" s="41"/>
      <c r="R287" s="41"/>
      <c r="S287" s="41"/>
      <c r="T287" s="41"/>
      <c r="U287" s="41"/>
      <c r="V287" s="41"/>
      <c r="W287" s="41"/>
      <c r="X287" s="41"/>
      <c r="Y287" s="41"/>
      <c r="Z287" s="41"/>
      <c r="AA287" s="41"/>
    </row>
    <row r="288" spans="1:27" x14ac:dyDescent="0.3">
      <c r="A288" s="41"/>
      <c r="B288" s="41"/>
      <c r="C288" s="41"/>
      <c r="D288" s="41"/>
      <c r="E288" s="41"/>
      <c r="F288" s="41"/>
      <c r="G288" s="41"/>
      <c r="H288" s="41"/>
      <c r="I288" s="41"/>
      <c r="J288" s="41"/>
      <c r="K288" s="41"/>
      <c r="L288" s="41"/>
      <c r="M288" s="41"/>
      <c r="N288" s="41"/>
      <c r="O288" s="41"/>
      <c r="P288" s="41"/>
      <c r="Q288" s="41"/>
      <c r="R288" s="41"/>
      <c r="S288" s="41"/>
      <c r="T288" s="41"/>
      <c r="U288" s="41"/>
      <c r="V288" s="41"/>
      <c r="W288" s="41"/>
      <c r="X288" s="41"/>
      <c r="Y288" s="41"/>
      <c r="Z288" s="41"/>
      <c r="AA288" s="41"/>
    </row>
    <row r="289" spans="1:27" x14ac:dyDescent="0.3">
      <c r="A289" s="41"/>
      <c r="B289" s="41"/>
      <c r="C289" s="41"/>
      <c r="D289" s="41"/>
      <c r="E289" s="41"/>
      <c r="F289" s="41"/>
      <c r="G289" s="41"/>
      <c r="H289" s="41"/>
      <c r="I289" s="41"/>
      <c r="J289" s="41"/>
      <c r="K289" s="41"/>
      <c r="L289" s="41"/>
      <c r="M289" s="41"/>
      <c r="N289" s="41"/>
      <c r="O289" s="41"/>
      <c r="P289" s="41"/>
      <c r="Q289" s="41"/>
      <c r="R289" s="41"/>
      <c r="S289" s="41"/>
      <c r="T289" s="41"/>
      <c r="U289" s="41"/>
      <c r="V289" s="41"/>
      <c r="W289" s="41"/>
      <c r="X289" s="41"/>
      <c r="Y289" s="41"/>
      <c r="Z289" s="41"/>
      <c r="AA289" s="41"/>
    </row>
    <row r="290" spans="1:27" x14ac:dyDescent="0.3">
      <c r="A290" s="41"/>
      <c r="B290" s="41"/>
      <c r="C290" s="41"/>
      <c r="D290" s="41"/>
      <c r="E290" s="41"/>
      <c r="F290" s="41"/>
      <c r="G290" s="41"/>
      <c r="H290" s="41"/>
      <c r="I290" s="41"/>
      <c r="J290" s="41"/>
      <c r="K290" s="41"/>
      <c r="L290" s="41"/>
      <c r="M290" s="41"/>
      <c r="N290" s="41"/>
      <c r="O290" s="41"/>
      <c r="P290" s="41"/>
      <c r="Q290" s="41"/>
      <c r="R290" s="41"/>
      <c r="S290" s="41"/>
      <c r="T290" s="41"/>
      <c r="U290" s="41"/>
      <c r="V290" s="41"/>
      <c r="W290" s="41"/>
      <c r="X290" s="41"/>
      <c r="Y290" s="41"/>
      <c r="Z290" s="41"/>
      <c r="AA290" s="41"/>
    </row>
    <row r="291" spans="1:27" x14ac:dyDescent="0.3">
      <c r="A291" s="41"/>
      <c r="B291" s="41"/>
      <c r="C291" s="41"/>
      <c r="D291" s="41"/>
      <c r="E291" s="41"/>
      <c r="F291" s="41"/>
      <c r="G291" s="41"/>
      <c r="H291" s="41"/>
      <c r="I291" s="41"/>
      <c r="J291" s="41"/>
      <c r="K291" s="41"/>
      <c r="L291" s="41"/>
      <c r="M291" s="41"/>
      <c r="N291" s="41"/>
      <c r="O291" s="41"/>
      <c r="P291" s="41"/>
      <c r="Q291" s="41"/>
      <c r="R291" s="41"/>
      <c r="S291" s="41"/>
      <c r="T291" s="41"/>
      <c r="U291" s="41"/>
      <c r="V291" s="41"/>
      <c r="W291" s="41"/>
      <c r="X291" s="41"/>
      <c r="Y291" s="41"/>
      <c r="Z291" s="41"/>
      <c r="AA291" s="41"/>
    </row>
    <row r="292" spans="1:27" x14ac:dyDescent="0.3">
      <c r="A292" s="41"/>
      <c r="B292" s="41"/>
      <c r="C292" s="41"/>
      <c r="D292" s="41"/>
      <c r="E292" s="41"/>
      <c r="F292" s="41"/>
      <c r="G292" s="41"/>
      <c r="H292" s="41"/>
      <c r="I292" s="41"/>
      <c r="J292" s="41"/>
      <c r="K292" s="41"/>
      <c r="L292" s="41"/>
      <c r="M292" s="41"/>
      <c r="N292" s="41"/>
      <c r="O292" s="41"/>
      <c r="P292" s="41"/>
      <c r="Q292" s="41"/>
      <c r="R292" s="41"/>
      <c r="S292" s="41"/>
      <c r="T292" s="41"/>
      <c r="U292" s="41"/>
      <c r="V292" s="41"/>
      <c r="W292" s="41"/>
      <c r="X292" s="41"/>
      <c r="Y292" s="41"/>
      <c r="Z292" s="41"/>
      <c r="AA292" s="41"/>
    </row>
    <row r="293" spans="1:27" x14ac:dyDescent="0.3">
      <c r="A293" s="41"/>
      <c r="B293" s="41"/>
      <c r="C293" s="41"/>
      <c r="D293" s="41"/>
      <c r="E293" s="41"/>
      <c r="F293" s="41"/>
      <c r="G293" s="41"/>
      <c r="H293" s="41"/>
      <c r="I293" s="41"/>
      <c r="J293" s="41"/>
      <c r="K293" s="41"/>
      <c r="L293" s="41"/>
      <c r="M293" s="41"/>
      <c r="N293" s="41"/>
      <c r="O293" s="41"/>
      <c r="P293" s="41"/>
      <c r="Q293" s="41"/>
      <c r="R293" s="41"/>
      <c r="S293" s="41"/>
      <c r="T293" s="41"/>
      <c r="U293" s="41"/>
      <c r="V293" s="41"/>
      <c r="W293" s="41"/>
      <c r="X293" s="41"/>
      <c r="Y293" s="41"/>
      <c r="Z293" s="41"/>
      <c r="AA293" s="41"/>
    </row>
    <row r="294" spans="1:27" x14ac:dyDescent="0.3">
      <c r="A294" s="41"/>
      <c r="B294" s="41"/>
      <c r="C294" s="41"/>
      <c r="D294" s="41"/>
      <c r="E294" s="41"/>
      <c r="F294" s="41"/>
      <c r="G294" s="41"/>
      <c r="H294" s="41"/>
      <c r="I294" s="41"/>
      <c r="J294" s="41"/>
      <c r="K294" s="41"/>
      <c r="L294" s="41"/>
      <c r="M294" s="41"/>
      <c r="N294" s="41"/>
      <c r="O294" s="41"/>
      <c r="P294" s="41"/>
      <c r="Q294" s="41"/>
      <c r="R294" s="41"/>
      <c r="S294" s="41"/>
      <c r="T294" s="41"/>
      <c r="U294" s="41"/>
      <c r="V294" s="41"/>
      <c r="W294" s="41"/>
      <c r="X294" s="41"/>
      <c r="Y294" s="41"/>
      <c r="Z294" s="41"/>
      <c r="AA294" s="41"/>
    </row>
    <row r="295" spans="1:27" x14ac:dyDescent="0.3">
      <c r="A295" s="41"/>
      <c r="B295" s="41"/>
      <c r="C295" s="41"/>
      <c r="D295" s="41"/>
      <c r="E295" s="41"/>
      <c r="F295" s="41"/>
      <c r="G295" s="41"/>
      <c r="H295" s="41"/>
      <c r="I295" s="41"/>
      <c r="J295" s="41"/>
      <c r="K295" s="41"/>
      <c r="L295" s="41"/>
      <c r="M295" s="41"/>
      <c r="N295" s="41"/>
      <c r="O295" s="41"/>
      <c r="P295" s="41"/>
      <c r="Q295" s="41"/>
      <c r="R295" s="41"/>
      <c r="S295" s="41"/>
      <c r="T295" s="41"/>
      <c r="U295" s="41"/>
      <c r="V295" s="41"/>
      <c r="W295" s="41"/>
      <c r="X295" s="41"/>
      <c r="Y295" s="41"/>
      <c r="Z295" s="41"/>
      <c r="AA295" s="41"/>
    </row>
    <row r="296" spans="1:27" x14ac:dyDescent="0.3">
      <c r="A296" s="41"/>
      <c r="B296" s="41"/>
      <c r="C296" s="41"/>
      <c r="D296" s="41"/>
      <c r="E296" s="41"/>
      <c r="F296" s="41"/>
      <c r="G296" s="41"/>
      <c r="H296" s="41"/>
      <c r="I296" s="41"/>
      <c r="J296" s="41"/>
      <c r="K296" s="41"/>
      <c r="L296" s="41"/>
      <c r="M296" s="41"/>
      <c r="N296" s="41"/>
      <c r="O296" s="41"/>
      <c r="P296" s="41"/>
      <c r="Q296" s="41"/>
      <c r="R296" s="41"/>
      <c r="S296" s="41"/>
      <c r="T296" s="41"/>
      <c r="U296" s="41"/>
      <c r="V296" s="41"/>
      <c r="W296" s="41"/>
      <c r="X296" s="41"/>
      <c r="Y296" s="41"/>
      <c r="Z296" s="41"/>
      <c r="AA296" s="41"/>
    </row>
    <row r="297" spans="1:27" x14ac:dyDescent="0.3">
      <c r="A297" s="41"/>
      <c r="B297" s="41"/>
      <c r="C297" s="41"/>
      <c r="D297" s="41"/>
      <c r="E297" s="41"/>
      <c r="F297" s="41"/>
      <c r="G297" s="41"/>
      <c r="H297" s="41"/>
      <c r="I297" s="41"/>
      <c r="J297" s="41"/>
      <c r="K297" s="41"/>
      <c r="L297" s="41"/>
      <c r="M297" s="41"/>
      <c r="N297" s="41"/>
      <c r="O297" s="41"/>
      <c r="P297" s="41"/>
      <c r="Q297" s="41"/>
      <c r="R297" s="41"/>
      <c r="S297" s="41"/>
      <c r="T297" s="41"/>
      <c r="U297" s="41"/>
      <c r="V297" s="41"/>
      <c r="W297" s="41"/>
      <c r="X297" s="41"/>
      <c r="Y297" s="41"/>
      <c r="Z297" s="41"/>
      <c r="AA297" s="41"/>
    </row>
    <row r="298" spans="1:27" x14ac:dyDescent="0.3">
      <c r="A298" s="41"/>
      <c r="B298" s="41"/>
      <c r="C298" s="41"/>
      <c r="D298" s="41"/>
      <c r="E298" s="41"/>
      <c r="F298" s="41"/>
      <c r="G298" s="41"/>
      <c r="H298" s="41"/>
      <c r="I298" s="41"/>
      <c r="J298" s="41"/>
      <c r="K298" s="41"/>
      <c r="L298" s="41"/>
      <c r="M298" s="41"/>
      <c r="N298" s="41"/>
      <c r="O298" s="41"/>
      <c r="P298" s="41"/>
      <c r="Q298" s="41"/>
      <c r="R298" s="41"/>
      <c r="S298" s="41"/>
      <c r="T298" s="41"/>
      <c r="U298" s="41"/>
      <c r="V298" s="41"/>
      <c r="W298" s="41"/>
      <c r="X298" s="41"/>
      <c r="Y298" s="41"/>
      <c r="Z298" s="41"/>
      <c r="AA298" s="41"/>
    </row>
    <row r="299" spans="1:27" x14ac:dyDescent="0.3">
      <c r="A299" s="41"/>
      <c r="B299" s="41"/>
      <c r="C299" s="41"/>
      <c r="D299" s="41"/>
      <c r="E299" s="41"/>
      <c r="F299" s="41"/>
      <c r="G299" s="41"/>
      <c r="H299" s="41"/>
      <c r="I299" s="41"/>
      <c r="J299" s="41"/>
      <c r="K299" s="41"/>
      <c r="L299" s="41"/>
      <c r="M299" s="41"/>
      <c r="N299" s="41"/>
      <c r="O299" s="41"/>
      <c r="P299" s="41"/>
      <c r="Q299" s="41"/>
      <c r="R299" s="41"/>
      <c r="S299" s="41"/>
      <c r="T299" s="41"/>
      <c r="U299" s="41"/>
      <c r="V299" s="41"/>
      <c r="W299" s="41"/>
      <c r="X299" s="41"/>
      <c r="Y299" s="41"/>
      <c r="Z299" s="41"/>
      <c r="AA299" s="41"/>
    </row>
    <row r="300" spans="1:27" x14ac:dyDescent="0.3">
      <c r="A300" s="41"/>
      <c r="B300" s="41"/>
      <c r="C300" s="41"/>
      <c r="D300" s="41"/>
      <c r="E300" s="41"/>
      <c r="F300" s="41"/>
      <c r="G300" s="41"/>
      <c r="H300" s="41"/>
      <c r="I300" s="41"/>
      <c r="J300" s="41"/>
      <c r="K300" s="41"/>
      <c r="L300" s="41"/>
      <c r="M300" s="41"/>
      <c r="N300" s="41"/>
      <c r="O300" s="41"/>
      <c r="P300" s="41"/>
      <c r="Q300" s="41"/>
      <c r="R300" s="41"/>
      <c r="S300" s="41"/>
      <c r="T300" s="41"/>
      <c r="U300" s="41"/>
      <c r="V300" s="41"/>
      <c r="W300" s="41"/>
      <c r="X300" s="41"/>
      <c r="Y300" s="41"/>
      <c r="Z300" s="41"/>
      <c r="AA300" s="41"/>
    </row>
    <row r="301" spans="1:27" x14ac:dyDescent="0.3">
      <c r="A301" s="41"/>
      <c r="B301" s="41"/>
      <c r="C301" s="41"/>
      <c r="D301" s="41"/>
      <c r="E301" s="41"/>
      <c r="F301" s="41"/>
      <c r="G301" s="41"/>
      <c r="H301" s="41"/>
      <c r="I301" s="41"/>
      <c r="J301" s="41"/>
      <c r="K301" s="41"/>
      <c r="L301" s="41"/>
      <c r="M301" s="41"/>
      <c r="N301" s="41"/>
      <c r="O301" s="41"/>
      <c r="P301" s="41"/>
      <c r="Q301" s="41"/>
      <c r="R301" s="41"/>
      <c r="S301" s="41"/>
      <c r="T301" s="41"/>
      <c r="U301" s="41"/>
      <c r="V301" s="41"/>
      <c r="W301" s="41"/>
      <c r="X301" s="41"/>
      <c r="Y301" s="41"/>
      <c r="Z301" s="41"/>
      <c r="AA301" s="41"/>
    </row>
    <row r="302" spans="1:27" x14ac:dyDescent="0.3">
      <c r="A302" s="41"/>
      <c r="B302" s="41"/>
      <c r="C302" s="41"/>
      <c r="D302" s="41"/>
      <c r="E302" s="41"/>
      <c r="F302" s="41"/>
      <c r="G302" s="41"/>
      <c r="H302" s="41"/>
      <c r="I302" s="41"/>
      <c r="J302" s="41"/>
      <c r="K302" s="41"/>
      <c r="L302" s="41"/>
      <c r="M302" s="41"/>
      <c r="N302" s="41"/>
      <c r="O302" s="41"/>
      <c r="P302" s="41"/>
      <c r="Q302" s="41"/>
      <c r="R302" s="41"/>
      <c r="S302" s="41"/>
      <c r="T302" s="41"/>
      <c r="U302" s="41"/>
      <c r="V302" s="41"/>
      <c r="W302" s="41"/>
      <c r="X302" s="41"/>
      <c r="Y302" s="41"/>
      <c r="Z302" s="41"/>
      <c r="AA302" s="41"/>
    </row>
    <row r="303" spans="1:27" x14ac:dyDescent="0.3">
      <c r="A303" s="41"/>
      <c r="B303" s="41"/>
      <c r="C303" s="41"/>
      <c r="D303" s="41"/>
      <c r="E303" s="41"/>
      <c r="F303" s="41"/>
      <c r="G303" s="41"/>
      <c r="H303" s="41"/>
      <c r="I303" s="41"/>
      <c r="J303" s="41"/>
      <c r="K303" s="41"/>
      <c r="L303" s="41"/>
      <c r="M303" s="41"/>
      <c r="N303" s="41"/>
      <c r="O303" s="41"/>
      <c r="P303" s="41"/>
      <c r="Q303" s="41"/>
      <c r="R303" s="41"/>
      <c r="S303" s="41"/>
      <c r="T303" s="41"/>
      <c r="U303" s="41"/>
      <c r="V303" s="41"/>
      <c r="W303" s="41"/>
      <c r="X303" s="41"/>
      <c r="Y303" s="41"/>
      <c r="Z303" s="41"/>
      <c r="AA303" s="41"/>
    </row>
    <row r="304" spans="1:27" x14ac:dyDescent="0.3">
      <c r="A304" s="41"/>
      <c r="B304" s="41"/>
      <c r="C304" s="41"/>
      <c r="D304" s="41"/>
      <c r="E304" s="41"/>
      <c r="F304" s="41"/>
      <c r="G304" s="41"/>
      <c r="H304" s="41"/>
      <c r="I304" s="41"/>
      <c r="J304" s="41"/>
      <c r="K304" s="41"/>
      <c r="L304" s="41"/>
      <c r="M304" s="41"/>
      <c r="N304" s="41"/>
      <c r="O304" s="41"/>
      <c r="P304" s="41"/>
      <c r="Q304" s="41"/>
      <c r="R304" s="41"/>
      <c r="S304" s="41"/>
      <c r="T304" s="41"/>
      <c r="U304" s="41"/>
      <c r="V304" s="41"/>
      <c r="W304" s="41"/>
      <c r="X304" s="41"/>
      <c r="Y304" s="41"/>
      <c r="Z304" s="41"/>
      <c r="AA304" s="41"/>
    </row>
    <row r="305" spans="1:27" x14ac:dyDescent="0.3">
      <c r="A305" s="41"/>
      <c r="B305" s="41"/>
      <c r="C305" s="41"/>
      <c r="D305" s="41"/>
      <c r="E305" s="41"/>
      <c r="F305" s="41"/>
      <c r="G305" s="41"/>
      <c r="H305" s="41"/>
      <c r="I305" s="41"/>
      <c r="J305" s="41"/>
      <c r="K305" s="41"/>
      <c r="L305" s="41"/>
      <c r="M305" s="41"/>
      <c r="N305" s="41"/>
      <c r="O305" s="41"/>
      <c r="P305" s="41"/>
      <c r="Q305" s="41"/>
      <c r="R305" s="41"/>
      <c r="S305" s="41"/>
      <c r="T305" s="41"/>
      <c r="U305" s="41"/>
      <c r="V305" s="41"/>
      <c r="W305" s="41"/>
      <c r="X305" s="41"/>
      <c r="Y305" s="41"/>
      <c r="Z305" s="41"/>
      <c r="AA305" s="41"/>
    </row>
    <row r="306" spans="1:27" x14ac:dyDescent="0.3">
      <c r="A306" s="41"/>
      <c r="B306" s="41"/>
      <c r="C306" s="41"/>
      <c r="D306" s="41"/>
      <c r="E306" s="41"/>
      <c r="F306" s="41"/>
      <c r="G306" s="41"/>
      <c r="H306" s="41"/>
      <c r="I306" s="41"/>
      <c r="J306" s="41"/>
      <c r="K306" s="41"/>
      <c r="L306" s="41"/>
      <c r="M306" s="41"/>
      <c r="N306" s="41"/>
      <c r="O306" s="41"/>
      <c r="P306" s="41"/>
      <c r="Q306" s="41"/>
      <c r="R306" s="41"/>
      <c r="S306" s="41"/>
      <c r="T306" s="41"/>
      <c r="U306" s="41"/>
      <c r="V306" s="41"/>
      <c r="W306" s="41"/>
      <c r="X306" s="41"/>
      <c r="Y306" s="41"/>
      <c r="Z306" s="41"/>
      <c r="AA306" s="41"/>
    </row>
    <row r="307" spans="1:27" x14ac:dyDescent="0.3">
      <c r="A307" s="41"/>
      <c r="B307" s="41"/>
      <c r="C307" s="41"/>
      <c r="D307" s="41"/>
      <c r="E307" s="41"/>
      <c r="F307" s="41"/>
      <c r="G307" s="41"/>
      <c r="H307" s="41"/>
      <c r="I307" s="41"/>
      <c r="J307" s="41"/>
      <c r="K307" s="41"/>
      <c r="L307" s="41"/>
      <c r="M307" s="41"/>
      <c r="N307" s="41"/>
      <c r="O307" s="41"/>
      <c r="P307" s="41"/>
      <c r="Q307" s="41"/>
      <c r="R307" s="41"/>
      <c r="S307" s="41"/>
      <c r="T307" s="41"/>
      <c r="U307" s="41"/>
      <c r="V307" s="41"/>
      <c r="W307" s="41"/>
      <c r="X307" s="41"/>
      <c r="Y307" s="41"/>
      <c r="Z307" s="41"/>
      <c r="AA307" s="41"/>
    </row>
    <row r="308" spans="1:27" x14ac:dyDescent="0.3">
      <c r="A308" s="41"/>
      <c r="B308" s="41"/>
      <c r="C308" s="41"/>
      <c r="D308" s="41"/>
      <c r="E308" s="41"/>
      <c r="F308" s="41"/>
      <c r="G308" s="41"/>
      <c r="H308" s="41"/>
      <c r="I308" s="41"/>
      <c r="J308" s="41"/>
      <c r="K308" s="41"/>
      <c r="L308" s="41"/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/>
      <c r="Y308" s="41"/>
      <c r="Z308" s="41"/>
      <c r="AA308" s="41"/>
    </row>
    <row r="309" spans="1:27" x14ac:dyDescent="0.3">
      <c r="A309" s="41"/>
      <c r="B309" s="41"/>
      <c r="C309" s="41"/>
      <c r="D309" s="41"/>
      <c r="E309" s="41"/>
      <c r="F309" s="41"/>
      <c r="G309" s="41"/>
      <c r="H309" s="41"/>
      <c r="I309" s="41"/>
      <c r="J309" s="41"/>
      <c r="K309" s="41"/>
      <c r="L309" s="41"/>
      <c r="M309" s="41"/>
      <c r="N309" s="41"/>
      <c r="O309" s="41"/>
      <c r="P309" s="41"/>
      <c r="Q309" s="41"/>
      <c r="R309" s="41"/>
      <c r="S309" s="41"/>
      <c r="T309" s="41"/>
      <c r="U309" s="41"/>
      <c r="V309" s="41"/>
      <c r="W309" s="41"/>
      <c r="X309" s="41"/>
      <c r="Y309" s="41"/>
      <c r="Z309" s="41"/>
      <c r="AA309" s="41"/>
    </row>
    <row r="310" spans="1:27" x14ac:dyDescent="0.3">
      <c r="A310" s="41"/>
      <c r="B310" s="41"/>
      <c r="C310" s="41"/>
      <c r="D310" s="41"/>
      <c r="E310" s="41"/>
      <c r="F310" s="41"/>
      <c r="G310" s="41"/>
      <c r="H310" s="41"/>
      <c r="I310" s="41"/>
      <c r="J310" s="41"/>
      <c r="K310" s="41"/>
      <c r="L310" s="41"/>
      <c r="M310" s="41"/>
      <c r="N310" s="41"/>
      <c r="O310" s="41"/>
      <c r="P310" s="41"/>
      <c r="Q310" s="41"/>
      <c r="R310" s="41"/>
      <c r="S310" s="41"/>
      <c r="T310" s="41"/>
      <c r="U310" s="41"/>
      <c r="V310" s="41"/>
      <c r="W310" s="41"/>
      <c r="X310" s="41"/>
      <c r="Y310" s="41"/>
      <c r="Z310" s="41"/>
      <c r="AA310" s="41"/>
    </row>
    <row r="311" spans="1:27" x14ac:dyDescent="0.3">
      <c r="A311" s="41"/>
      <c r="B311" s="41"/>
      <c r="C311" s="41"/>
      <c r="D311" s="41"/>
      <c r="E311" s="41"/>
      <c r="F311" s="41"/>
      <c r="G311" s="41"/>
      <c r="H311" s="41"/>
      <c r="I311" s="41"/>
      <c r="J311" s="41"/>
      <c r="K311" s="41"/>
      <c r="L311" s="41"/>
      <c r="M311" s="41"/>
      <c r="N311" s="41"/>
      <c r="O311" s="41"/>
      <c r="P311" s="41"/>
      <c r="Q311" s="41"/>
      <c r="R311" s="41"/>
      <c r="S311" s="41"/>
      <c r="T311" s="41"/>
      <c r="U311" s="41"/>
      <c r="V311" s="41"/>
      <c r="W311" s="41"/>
      <c r="X311" s="41"/>
      <c r="Y311" s="41"/>
      <c r="Z311" s="41"/>
      <c r="AA311" s="41"/>
    </row>
    <row r="312" spans="1:27" x14ac:dyDescent="0.3">
      <c r="A312" s="41"/>
      <c r="B312" s="41"/>
      <c r="C312" s="41"/>
      <c r="D312" s="41"/>
      <c r="E312" s="41"/>
      <c r="F312" s="41"/>
      <c r="G312" s="41"/>
      <c r="H312" s="41"/>
      <c r="I312" s="41"/>
      <c r="J312" s="41"/>
      <c r="K312" s="41"/>
      <c r="L312" s="41"/>
      <c r="M312" s="41"/>
      <c r="N312" s="41"/>
      <c r="O312" s="41"/>
      <c r="P312" s="41"/>
      <c r="Q312" s="41"/>
      <c r="R312" s="41"/>
      <c r="S312" s="41"/>
      <c r="T312" s="41"/>
      <c r="U312" s="41"/>
      <c r="V312" s="41"/>
      <c r="W312" s="41"/>
      <c r="X312" s="41"/>
      <c r="Y312" s="41"/>
      <c r="Z312" s="41"/>
      <c r="AA312" s="41"/>
    </row>
    <row r="313" spans="1:27" x14ac:dyDescent="0.3">
      <c r="A313" s="41"/>
      <c r="B313" s="41"/>
      <c r="C313" s="41"/>
      <c r="D313" s="41"/>
      <c r="E313" s="41"/>
      <c r="F313" s="41"/>
      <c r="G313" s="41"/>
      <c r="H313" s="41"/>
      <c r="I313" s="41"/>
      <c r="J313" s="41"/>
      <c r="K313" s="41"/>
      <c r="L313" s="41"/>
      <c r="M313" s="41"/>
      <c r="N313" s="41"/>
      <c r="O313" s="41"/>
      <c r="P313" s="41"/>
      <c r="Q313" s="41"/>
      <c r="R313" s="41"/>
      <c r="S313" s="41"/>
      <c r="T313" s="41"/>
      <c r="U313" s="41"/>
      <c r="V313" s="41"/>
      <c r="W313" s="41"/>
      <c r="X313" s="41"/>
      <c r="Y313" s="41"/>
      <c r="Z313" s="41"/>
      <c r="AA313" s="41"/>
    </row>
    <row r="314" spans="1:27" x14ac:dyDescent="0.3">
      <c r="A314" s="41"/>
      <c r="B314" s="41"/>
      <c r="C314" s="41"/>
      <c r="D314" s="41"/>
      <c r="E314" s="41"/>
      <c r="F314" s="41"/>
      <c r="G314" s="41"/>
      <c r="H314" s="41"/>
      <c r="I314" s="41"/>
      <c r="J314" s="41"/>
      <c r="K314" s="41"/>
      <c r="L314" s="41"/>
      <c r="M314" s="41"/>
      <c r="N314" s="41"/>
      <c r="O314" s="41"/>
      <c r="P314" s="41"/>
      <c r="Q314" s="41"/>
      <c r="R314" s="41"/>
      <c r="S314" s="41"/>
      <c r="T314" s="41"/>
      <c r="U314" s="41"/>
      <c r="V314" s="41"/>
      <c r="W314" s="41"/>
      <c r="X314" s="41"/>
      <c r="Y314" s="41"/>
      <c r="Z314" s="41"/>
      <c r="AA314" s="41"/>
    </row>
    <row r="315" spans="1:27" x14ac:dyDescent="0.3">
      <c r="A315" s="41"/>
      <c r="B315" s="41"/>
      <c r="C315" s="41"/>
      <c r="D315" s="41"/>
      <c r="E315" s="41"/>
      <c r="F315" s="41"/>
      <c r="G315" s="41"/>
      <c r="H315" s="41"/>
      <c r="I315" s="41"/>
      <c r="J315" s="41"/>
      <c r="K315" s="41"/>
      <c r="L315" s="41"/>
      <c r="M315" s="41"/>
      <c r="N315" s="41"/>
      <c r="O315" s="41"/>
      <c r="P315" s="41"/>
      <c r="Q315" s="41"/>
      <c r="R315" s="41"/>
      <c r="S315" s="41"/>
      <c r="T315" s="41"/>
      <c r="U315" s="41"/>
      <c r="V315" s="41"/>
      <c r="W315" s="41"/>
      <c r="X315" s="41"/>
      <c r="Y315" s="41"/>
      <c r="Z315" s="41"/>
      <c r="AA315" s="41"/>
    </row>
    <row r="316" spans="1:27" x14ac:dyDescent="0.3">
      <c r="A316" s="41"/>
      <c r="B316" s="41"/>
      <c r="C316" s="41"/>
      <c r="D316" s="41"/>
      <c r="E316" s="41"/>
      <c r="F316" s="41"/>
      <c r="G316" s="41"/>
      <c r="H316" s="41"/>
      <c r="I316" s="41"/>
      <c r="J316" s="41"/>
      <c r="K316" s="41"/>
      <c r="L316" s="41"/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/>
      <c r="Y316" s="41"/>
      <c r="Z316" s="41"/>
      <c r="AA316" s="41"/>
    </row>
    <row r="317" spans="1:27" x14ac:dyDescent="0.3">
      <c r="A317" s="41"/>
      <c r="B317" s="41"/>
      <c r="C317" s="41"/>
      <c r="D317" s="41"/>
      <c r="E317" s="41"/>
      <c r="F317" s="41"/>
      <c r="G317" s="41"/>
      <c r="H317" s="41"/>
      <c r="I317" s="41"/>
      <c r="J317" s="41"/>
      <c r="K317" s="41"/>
      <c r="L317" s="41"/>
      <c r="M317" s="41"/>
      <c r="N317" s="41"/>
      <c r="O317" s="41"/>
      <c r="P317" s="41"/>
      <c r="Q317" s="41"/>
      <c r="R317" s="41"/>
      <c r="S317" s="41"/>
      <c r="T317" s="41"/>
      <c r="U317" s="41"/>
      <c r="V317" s="41"/>
      <c r="W317" s="41"/>
      <c r="X317" s="41"/>
      <c r="Y317" s="41"/>
      <c r="Z317" s="41"/>
      <c r="AA317" s="41"/>
    </row>
    <row r="318" spans="1:27" x14ac:dyDescent="0.3">
      <c r="A318" s="41"/>
      <c r="B318" s="41"/>
      <c r="C318" s="41"/>
      <c r="D318" s="41"/>
      <c r="E318" s="41"/>
      <c r="F318" s="41"/>
      <c r="G318" s="41"/>
      <c r="H318" s="41"/>
      <c r="I318" s="41"/>
      <c r="J318" s="41"/>
      <c r="K318" s="41"/>
      <c r="L318" s="41"/>
      <c r="M318" s="41"/>
      <c r="N318" s="41"/>
      <c r="O318" s="41"/>
      <c r="P318" s="41"/>
      <c r="Q318" s="41"/>
      <c r="R318" s="41"/>
      <c r="S318" s="41"/>
      <c r="T318" s="41"/>
      <c r="U318" s="41"/>
      <c r="V318" s="41"/>
      <c r="W318" s="41"/>
      <c r="X318" s="41"/>
      <c r="Y318" s="41"/>
      <c r="Z318" s="41"/>
      <c r="AA318" s="41"/>
    </row>
    <row r="319" spans="1:27" x14ac:dyDescent="0.3">
      <c r="A319" s="41"/>
      <c r="B319" s="41"/>
      <c r="C319" s="41"/>
      <c r="D319" s="41"/>
      <c r="E319" s="41"/>
      <c r="F319" s="41"/>
      <c r="G319" s="41"/>
      <c r="H319" s="41"/>
      <c r="I319" s="41"/>
      <c r="J319" s="41"/>
      <c r="K319" s="41"/>
      <c r="L319" s="41"/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/>
    </row>
    <row r="320" spans="1:27" x14ac:dyDescent="0.3">
      <c r="A320" s="41"/>
      <c r="B320" s="41"/>
      <c r="C320" s="41"/>
      <c r="D320" s="41"/>
      <c r="E320" s="41"/>
      <c r="F320" s="41"/>
      <c r="G320" s="41"/>
      <c r="H320" s="41"/>
      <c r="I320" s="41"/>
      <c r="J320" s="41"/>
      <c r="K320" s="41"/>
      <c r="L320" s="41"/>
      <c r="M320" s="41"/>
      <c r="N320" s="41"/>
      <c r="O320" s="41"/>
      <c r="P320" s="41"/>
      <c r="Q320" s="41"/>
      <c r="R320" s="41"/>
      <c r="S320" s="41"/>
      <c r="T320" s="41"/>
      <c r="U320" s="41"/>
      <c r="V320" s="41"/>
      <c r="W320" s="41"/>
      <c r="X320" s="41"/>
      <c r="Y320" s="41"/>
      <c r="Z320" s="41"/>
      <c r="AA320" s="41"/>
    </row>
    <row r="321" spans="1:27" x14ac:dyDescent="0.3">
      <c r="A321" s="41"/>
      <c r="B321" s="41"/>
      <c r="C321" s="41"/>
      <c r="D321" s="41"/>
      <c r="E321" s="41"/>
      <c r="F321" s="41"/>
      <c r="G321" s="41"/>
      <c r="H321" s="41"/>
      <c r="I321" s="41"/>
      <c r="J321" s="41"/>
      <c r="K321" s="41"/>
      <c r="L321" s="41"/>
      <c r="M321" s="41"/>
      <c r="N321" s="41"/>
      <c r="O321" s="41"/>
      <c r="P321" s="41"/>
      <c r="Q321" s="41"/>
      <c r="R321" s="41"/>
      <c r="S321" s="41"/>
      <c r="T321" s="41"/>
      <c r="U321" s="41"/>
      <c r="V321" s="41"/>
      <c r="W321" s="41"/>
      <c r="X321" s="41"/>
      <c r="Y321" s="41"/>
      <c r="Z321" s="41"/>
      <c r="AA321" s="41"/>
    </row>
    <row r="322" spans="1:27" x14ac:dyDescent="0.3">
      <c r="A322" s="41"/>
      <c r="B322" s="41"/>
      <c r="C322" s="41"/>
      <c r="D322" s="41"/>
      <c r="E322" s="41"/>
      <c r="F322" s="41"/>
      <c r="G322" s="41"/>
      <c r="H322" s="41"/>
      <c r="I322" s="41"/>
      <c r="J322" s="41"/>
      <c r="K322" s="41"/>
      <c r="L322" s="41"/>
      <c r="M322" s="41"/>
      <c r="N322" s="41"/>
      <c r="O322" s="41"/>
      <c r="P322" s="41"/>
      <c r="Q322" s="41"/>
      <c r="R322" s="41"/>
      <c r="S322" s="41"/>
      <c r="T322" s="41"/>
      <c r="U322" s="41"/>
      <c r="V322" s="41"/>
      <c r="W322" s="41"/>
      <c r="X322" s="41"/>
      <c r="Y322" s="41"/>
      <c r="Z322" s="41"/>
      <c r="AA322" s="41"/>
    </row>
    <row r="323" spans="1:27" x14ac:dyDescent="0.3">
      <c r="A323" s="41"/>
      <c r="B323" s="41"/>
      <c r="C323" s="41"/>
      <c r="D323" s="41"/>
      <c r="E323" s="41"/>
      <c r="F323" s="41"/>
      <c r="G323" s="41"/>
      <c r="H323" s="41"/>
      <c r="I323" s="41"/>
      <c r="J323" s="41"/>
      <c r="K323" s="41"/>
      <c r="L323" s="41"/>
      <c r="M323" s="41"/>
      <c r="N323" s="41"/>
      <c r="O323" s="41"/>
      <c r="P323" s="41"/>
      <c r="Q323" s="41"/>
      <c r="R323" s="41"/>
      <c r="S323" s="41"/>
      <c r="T323" s="41"/>
      <c r="U323" s="41"/>
      <c r="V323" s="41"/>
      <c r="W323" s="41"/>
      <c r="X323" s="41"/>
      <c r="Y323" s="41"/>
      <c r="Z323" s="41"/>
      <c r="AA323" s="41"/>
    </row>
    <row r="324" spans="1:27" x14ac:dyDescent="0.3">
      <c r="A324" s="41"/>
      <c r="B324" s="41"/>
      <c r="C324" s="41"/>
      <c r="D324" s="41"/>
      <c r="E324" s="41"/>
      <c r="F324" s="41"/>
      <c r="G324" s="41"/>
      <c r="H324" s="41"/>
      <c r="I324" s="41"/>
      <c r="J324" s="41"/>
      <c r="K324" s="41"/>
      <c r="L324" s="41"/>
      <c r="M324" s="41"/>
      <c r="N324" s="41"/>
      <c r="O324" s="41"/>
      <c r="P324" s="41"/>
      <c r="Q324" s="41"/>
      <c r="R324" s="41"/>
      <c r="S324" s="41"/>
      <c r="T324" s="41"/>
      <c r="U324" s="41"/>
      <c r="V324" s="41"/>
      <c r="W324" s="41"/>
      <c r="X324" s="41"/>
      <c r="Y324" s="41"/>
      <c r="Z324" s="41"/>
      <c r="AA324" s="41"/>
    </row>
    <row r="325" spans="1:27" x14ac:dyDescent="0.3">
      <c r="A325" s="41"/>
      <c r="B325" s="41"/>
      <c r="C325" s="41"/>
      <c r="D325" s="41"/>
      <c r="E325" s="41"/>
      <c r="F325" s="41"/>
      <c r="G325" s="41"/>
      <c r="H325" s="41"/>
      <c r="I325" s="41"/>
      <c r="J325" s="41"/>
      <c r="K325" s="41"/>
      <c r="L325" s="41"/>
      <c r="M325" s="41"/>
      <c r="N325" s="41"/>
      <c r="O325" s="41"/>
      <c r="P325" s="41"/>
      <c r="Q325" s="41"/>
      <c r="R325" s="41"/>
      <c r="S325" s="41"/>
      <c r="T325" s="41"/>
      <c r="U325" s="41"/>
      <c r="V325" s="41"/>
      <c r="W325" s="41"/>
      <c r="X325" s="41"/>
      <c r="Y325" s="41"/>
      <c r="Z325" s="41"/>
      <c r="AA325" s="41"/>
    </row>
    <row r="326" spans="1:27" x14ac:dyDescent="0.3">
      <c r="A326" s="41"/>
      <c r="B326" s="41"/>
      <c r="C326" s="41"/>
      <c r="D326" s="41"/>
      <c r="E326" s="41"/>
      <c r="F326" s="41"/>
      <c r="G326" s="41"/>
      <c r="H326" s="41"/>
      <c r="I326" s="41"/>
      <c r="J326" s="41"/>
      <c r="K326" s="41"/>
      <c r="L326" s="41"/>
      <c r="M326" s="41"/>
      <c r="N326" s="41"/>
      <c r="O326" s="41"/>
      <c r="P326" s="41"/>
      <c r="Q326" s="41"/>
      <c r="R326" s="41"/>
      <c r="S326" s="41"/>
      <c r="T326" s="41"/>
      <c r="U326" s="41"/>
      <c r="V326" s="41"/>
      <c r="W326" s="41"/>
      <c r="X326" s="41"/>
      <c r="Y326" s="41"/>
      <c r="Z326" s="41"/>
      <c r="AA326" s="41"/>
    </row>
    <row r="327" spans="1:27" x14ac:dyDescent="0.3">
      <c r="A327" s="41"/>
      <c r="B327" s="41"/>
      <c r="C327" s="41"/>
      <c r="D327" s="41"/>
      <c r="E327" s="41"/>
      <c r="F327" s="41"/>
      <c r="G327" s="41"/>
      <c r="H327" s="41"/>
      <c r="I327" s="41"/>
      <c r="J327" s="41"/>
      <c r="K327" s="41"/>
      <c r="L327" s="41"/>
      <c r="M327" s="41"/>
      <c r="N327" s="41"/>
      <c r="O327" s="41"/>
      <c r="P327" s="41"/>
      <c r="Q327" s="41"/>
      <c r="R327" s="41"/>
      <c r="S327" s="41"/>
      <c r="T327" s="41"/>
      <c r="U327" s="41"/>
      <c r="V327" s="41"/>
      <c r="W327" s="41"/>
      <c r="X327" s="41"/>
      <c r="Y327" s="41"/>
      <c r="Z327" s="41"/>
      <c r="AA327" s="41"/>
    </row>
    <row r="328" spans="1:27" x14ac:dyDescent="0.3">
      <c r="A328" s="41"/>
      <c r="B328" s="41"/>
      <c r="C328" s="41"/>
      <c r="D328" s="41"/>
      <c r="E328" s="41"/>
      <c r="F328" s="41"/>
      <c r="G328" s="41"/>
      <c r="H328" s="41"/>
      <c r="I328" s="41"/>
      <c r="J328" s="41"/>
      <c r="K328" s="41"/>
      <c r="L328" s="41"/>
      <c r="M328" s="41"/>
      <c r="N328" s="41"/>
      <c r="O328" s="41"/>
      <c r="P328" s="41"/>
      <c r="Q328" s="41"/>
      <c r="R328" s="41"/>
      <c r="S328" s="41"/>
      <c r="T328" s="41"/>
      <c r="U328" s="41"/>
      <c r="V328" s="41"/>
      <c r="W328" s="41"/>
      <c r="X328" s="41"/>
      <c r="Y328" s="41"/>
      <c r="Z328" s="41"/>
      <c r="AA328" s="41"/>
    </row>
    <row r="329" spans="1:27" x14ac:dyDescent="0.3">
      <c r="A329" s="41"/>
      <c r="B329" s="41"/>
      <c r="C329" s="41"/>
      <c r="D329" s="41"/>
      <c r="E329" s="41"/>
      <c r="F329" s="41"/>
      <c r="G329" s="41"/>
      <c r="H329" s="41"/>
      <c r="I329" s="41"/>
      <c r="J329" s="41"/>
      <c r="K329" s="41"/>
      <c r="L329" s="41"/>
      <c r="M329" s="41"/>
      <c r="N329" s="41"/>
      <c r="O329" s="41"/>
      <c r="P329" s="41"/>
      <c r="Q329" s="41"/>
      <c r="R329" s="41"/>
      <c r="S329" s="41"/>
      <c r="T329" s="41"/>
      <c r="U329" s="41"/>
      <c r="V329" s="41"/>
      <c r="W329" s="41"/>
      <c r="X329" s="41"/>
      <c r="Y329" s="41"/>
      <c r="Z329" s="41"/>
      <c r="AA329" s="41"/>
    </row>
    <row r="330" spans="1:27" x14ac:dyDescent="0.3">
      <c r="A330" s="41"/>
      <c r="B330" s="41"/>
      <c r="C330" s="41"/>
      <c r="D330" s="41"/>
      <c r="E330" s="41"/>
      <c r="F330" s="41"/>
      <c r="G330" s="41"/>
      <c r="H330" s="41"/>
      <c r="I330" s="41"/>
      <c r="J330" s="41"/>
      <c r="K330" s="41"/>
      <c r="L330" s="41"/>
      <c r="M330" s="41"/>
      <c r="N330" s="41"/>
      <c r="O330" s="41"/>
      <c r="P330" s="41"/>
      <c r="Q330" s="41"/>
      <c r="R330" s="41"/>
      <c r="S330" s="41"/>
      <c r="T330" s="41"/>
      <c r="U330" s="41"/>
      <c r="V330" s="41"/>
      <c r="W330" s="41"/>
      <c r="X330" s="41"/>
      <c r="Y330" s="41"/>
      <c r="Z330" s="41"/>
      <c r="AA330" s="41"/>
    </row>
    <row r="331" spans="1:27" x14ac:dyDescent="0.3">
      <c r="A331" s="41"/>
      <c r="B331" s="41"/>
      <c r="C331" s="41"/>
      <c r="D331" s="41"/>
      <c r="E331" s="41"/>
      <c r="F331" s="41"/>
      <c r="G331" s="41"/>
      <c r="H331" s="41"/>
      <c r="I331" s="41"/>
      <c r="J331" s="41"/>
      <c r="K331" s="41"/>
      <c r="L331" s="41"/>
      <c r="M331" s="41"/>
      <c r="N331" s="41"/>
      <c r="O331" s="41"/>
      <c r="P331" s="41"/>
      <c r="Q331" s="41"/>
      <c r="R331" s="41"/>
      <c r="S331" s="41"/>
      <c r="T331" s="41"/>
      <c r="U331" s="41"/>
      <c r="V331" s="41"/>
      <c r="W331" s="41"/>
      <c r="X331" s="41"/>
      <c r="Y331" s="41"/>
      <c r="Z331" s="41"/>
      <c r="AA331" s="41"/>
    </row>
    <row r="332" spans="1:27" x14ac:dyDescent="0.3">
      <c r="A332" s="41"/>
      <c r="B332" s="41"/>
      <c r="C332" s="41"/>
      <c r="D332" s="41"/>
      <c r="E332" s="41"/>
      <c r="F332" s="41"/>
      <c r="G332" s="41"/>
      <c r="H332" s="41"/>
      <c r="I332" s="41"/>
      <c r="J332" s="41"/>
      <c r="K332" s="41"/>
      <c r="L332" s="41"/>
      <c r="M332" s="41"/>
      <c r="N332" s="41"/>
      <c r="O332" s="41"/>
      <c r="P332" s="41"/>
      <c r="Q332" s="41"/>
      <c r="R332" s="41"/>
      <c r="S332" s="41"/>
      <c r="T332" s="41"/>
      <c r="U332" s="41"/>
      <c r="V332" s="41"/>
      <c r="W332" s="41"/>
      <c r="X332" s="41"/>
      <c r="Y332" s="41"/>
      <c r="Z332" s="41"/>
      <c r="AA332" s="41"/>
    </row>
    <row r="333" spans="1:27" x14ac:dyDescent="0.3">
      <c r="A333" s="41"/>
      <c r="B333" s="41"/>
      <c r="C333" s="41"/>
      <c r="D333" s="41"/>
      <c r="E333" s="41"/>
      <c r="F333" s="41"/>
      <c r="G333" s="41"/>
      <c r="H333" s="41"/>
      <c r="I333" s="41"/>
      <c r="J333" s="41"/>
      <c r="K333" s="41"/>
      <c r="L333" s="41"/>
      <c r="M333" s="41"/>
      <c r="N333" s="41"/>
      <c r="O333" s="41"/>
      <c r="P333" s="41"/>
      <c r="Q333" s="41"/>
      <c r="R333" s="41"/>
      <c r="S333" s="41"/>
      <c r="T333" s="41"/>
      <c r="U333" s="41"/>
      <c r="V333" s="41"/>
      <c r="W333" s="41"/>
      <c r="X333" s="41"/>
      <c r="Y333" s="41"/>
      <c r="Z333" s="41"/>
      <c r="AA333" s="41"/>
    </row>
    <row r="334" spans="1:27" x14ac:dyDescent="0.3">
      <c r="A334" s="41"/>
      <c r="B334" s="41"/>
      <c r="C334" s="41"/>
      <c r="D334" s="41"/>
      <c r="E334" s="41"/>
      <c r="F334" s="41"/>
      <c r="G334" s="41"/>
      <c r="H334" s="41"/>
      <c r="I334" s="41"/>
      <c r="J334" s="41"/>
      <c r="K334" s="41"/>
      <c r="L334" s="41"/>
      <c r="M334" s="41"/>
      <c r="N334" s="41"/>
      <c r="O334" s="41"/>
      <c r="P334" s="41"/>
      <c r="Q334" s="41"/>
      <c r="R334" s="41"/>
      <c r="S334" s="41"/>
      <c r="T334" s="41"/>
      <c r="U334" s="41"/>
      <c r="V334" s="41"/>
      <c r="W334" s="41"/>
      <c r="X334" s="41"/>
      <c r="Y334" s="41"/>
      <c r="Z334" s="41"/>
      <c r="AA334" s="41"/>
    </row>
    <row r="335" spans="1:27" x14ac:dyDescent="0.3">
      <c r="A335" s="41"/>
      <c r="B335" s="41"/>
      <c r="C335" s="41"/>
      <c r="D335" s="41"/>
      <c r="E335" s="41"/>
      <c r="F335" s="41"/>
      <c r="G335" s="41"/>
      <c r="H335" s="41"/>
      <c r="I335" s="41"/>
      <c r="J335" s="41"/>
      <c r="K335" s="41"/>
      <c r="L335" s="41"/>
      <c r="M335" s="41"/>
      <c r="N335" s="41"/>
      <c r="O335" s="41"/>
      <c r="P335" s="41"/>
      <c r="Q335" s="41"/>
      <c r="R335" s="41"/>
      <c r="S335" s="41"/>
      <c r="T335" s="41"/>
      <c r="U335" s="41"/>
      <c r="V335" s="41"/>
      <c r="W335" s="41"/>
      <c r="X335" s="41"/>
      <c r="Y335" s="41"/>
      <c r="Z335" s="41"/>
      <c r="AA335" s="41"/>
    </row>
    <row r="336" spans="1:27" x14ac:dyDescent="0.3">
      <c r="A336" s="41"/>
      <c r="B336" s="41"/>
      <c r="C336" s="41"/>
      <c r="D336" s="41"/>
      <c r="E336" s="41"/>
      <c r="F336" s="41"/>
      <c r="G336" s="41"/>
      <c r="H336" s="41"/>
      <c r="I336" s="41"/>
      <c r="J336" s="41"/>
      <c r="K336" s="41"/>
      <c r="L336" s="41"/>
      <c r="M336" s="41"/>
      <c r="N336" s="41"/>
      <c r="O336" s="41"/>
      <c r="P336" s="41"/>
      <c r="Q336" s="41"/>
      <c r="R336" s="41"/>
      <c r="S336" s="41"/>
      <c r="T336" s="41"/>
      <c r="U336" s="41"/>
      <c r="V336" s="41"/>
      <c r="W336" s="41"/>
      <c r="X336" s="41"/>
      <c r="Y336" s="41"/>
      <c r="Z336" s="41"/>
      <c r="AA336" s="41"/>
    </row>
    <row r="337" spans="1:27" x14ac:dyDescent="0.3">
      <c r="A337" s="41"/>
      <c r="B337" s="41"/>
      <c r="C337" s="41"/>
      <c r="D337" s="41"/>
      <c r="E337" s="41"/>
      <c r="F337" s="41"/>
      <c r="G337" s="41"/>
      <c r="H337" s="41"/>
      <c r="I337" s="41"/>
      <c r="J337" s="41"/>
      <c r="K337" s="41"/>
      <c r="L337" s="41"/>
      <c r="M337" s="41"/>
      <c r="N337" s="41"/>
      <c r="O337" s="41"/>
      <c r="P337" s="41"/>
      <c r="Q337" s="41"/>
      <c r="R337" s="41"/>
      <c r="S337" s="41"/>
      <c r="T337" s="41"/>
      <c r="U337" s="41"/>
      <c r="V337" s="41"/>
      <c r="W337" s="41"/>
      <c r="X337" s="41"/>
      <c r="Y337" s="41"/>
      <c r="Z337" s="41"/>
      <c r="AA337" s="41"/>
    </row>
    <row r="338" spans="1:27" x14ac:dyDescent="0.3">
      <c r="A338" s="41"/>
      <c r="B338" s="41"/>
      <c r="C338" s="41"/>
      <c r="D338" s="41"/>
      <c r="E338" s="41"/>
      <c r="F338" s="41"/>
      <c r="G338" s="41"/>
      <c r="H338" s="41"/>
      <c r="I338" s="41"/>
      <c r="J338" s="41"/>
      <c r="K338" s="41"/>
      <c r="L338" s="41"/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/>
      <c r="Y338" s="41"/>
      <c r="Z338" s="41"/>
      <c r="AA338" s="41"/>
    </row>
    <row r="339" spans="1:27" x14ac:dyDescent="0.3">
      <c r="A339" s="41"/>
      <c r="B339" s="41"/>
      <c r="C339" s="41"/>
      <c r="D339" s="41"/>
      <c r="E339" s="41"/>
      <c r="F339" s="41"/>
      <c r="G339" s="41"/>
      <c r="H339" s="41"/>
      <c r="I339" s="41"/>
      <c r="J339" s="41"/>
      <c r="K339" s="41"/>
      <c r="L339" s="41"/>
      <c r="M339" s="41"/>
      <c r="N339" s="41"/>
      <c r="O339" s="41"/>
      <c r="P339" s="41"/>
      <c r="Q339" s="41"/>
      <c r="R339" s="41"/>
      <c r="S339" s="41"/>
      <c r="T339" s="41"/>
      <c r="U339" s="41"/>
      <c r="V339" s="41"/>
      <c r="W339" s="41"/>
      <c r="X339" s="41"/>
      <c r="Y339" s="41"/>
      <c r="Z339" s="41"/>
      <c r="AA339" s="41"/>
    </row>
    <row r="340" spans="1:27" x14ac:dyDescent="0.3">
      <c r="A340" s="41"/>
      <c r="B340" s="41"/>
      <c r="C340" s="41"/>
      <c r="D340" s="41"/>
      <c r="E340" s="41"/>
      <c r="F340" s="41"/>
      <c r="G340" s="41"/>
      <c r="H340" s="41"/>
      <c r="I340" s="41"/>
      <c r="J340" s="41"/>
      <c r="K340" s="41"/>
      <c r="L340" s="41"/>
      <c r="M340" s="41"/>
      <c r="N340" s="41"/>
      <c r="O340" s="41"/>
      <c r="P340" s="41"/>
      <c r="Q340" s="41"/>
      <c r="R340" s="41"/>
      <c r="S340" s="41"/>
      <c r="T340" s="41"/>
      <c r="U340" s="41"/>
      <c r="V340" s="41"/>
      <c r="W340" s="41"/>
      <c r="X340" s="41"/>
      <c r="Y340" s="41"/>
      <c r="Z340" s="41"/>
      <c r="AA340" s="41"/>
    </row>
    <row r="341" spans="1:27" x14ac:dyDescent="0.3">
      <c r="A341" s="41"/>
      <c r="B341" s="41"/>
      <c r="C341" s="41"/>
      <c r="D341" s="41"/>
      <c r="E341" s="41"/>
      <c r="F341" s="41"/>
      <c r="G341" s="41"/>
      <c r="H341" s="41"/>
      <c r="I341" s="41"/>
      <c r="J341" s="41"/>
      <c r="K341" s="41"/>
      <c r="L341" s="41"/>
      <c r="M341" s="41"/>
      <c r="N341" s="41"/>
      <c r="O341" s="41"/>
      <c r="P341" s="41"/>
      <c r="Q341" s="41"/>
      <c r="R341" s="41"/>
      <c r="S341" s="41"/>
      <c r="T341" s="41"/>
      <c r="U341" s="41"/>
      <c r="V341" s="41"/>
      <c r="W341" s="41"/>
      <c r="X341" s="41"/>
      <c r="Y341" s="41"/>
      <c r="Z341" s="41"/>
      <c r="AA341" s="41"/>
    </row>
    <row r="342" spans="1:27" x14ac:dyDescent="0.3">
      <c r="A342" s="41"/>
      <c r="B342" s="41"/>
      <c r="C342" s="41"/>
      <c r="D342" s="41"/>
      <c r="E342" s="41"/>
      <c r="F342" s="41"/>
      <c r="G342" s="41"/>
      <c r="H342" s="41"/>
      <c r="I342" s="41"/>
      <c r="J342" s="41"/>
      <c r="K342" s="41"/>
      <c r="L342" s="41"/>
      <c r="M342" s="41"/>
      <c r="N342" s="41"/>
      <c r="O342" s="41"/>
      <c r="P342" s="41"/>
      <c r="Q342" s="41"/>
      <c r="R342" s="41"/>
      <c r="S342" s="41"/>
      <c r="T342" s="41"/>
      <c r="U342" s="41"/>
      <c r="V342" s="41"/>
      <c r="W342" s="41"/>
      <c r="X342" s="41"/>
      <c r="Y342" s="41"/>
      <c r="Z342" s="41"/>
      <c r="AA342" s="41"/>
    </row>
    <row r="343" spans="1:27" x14ac:dyDescent="0.3">
      <c r="A343" s="41"/>
      <c r="B343" s="41"/>
      <c r="C343" s="41"/>
      <c r="D343" s="41"/>
      <c r="E343" s="41"/>
      <c r="F343" s="41"/>
      <c r="G343" s="41"/>
      <c r="H343" s="41"/>
      <c r="I343" s="41"/>
      <c r="J343" s="41"/>
      <c r="K343" s="41"/>
      <c r="L343" s="41"/>
      <c r="M343" s="41"/>
      <c r="N343" s="41"/>
      <c r="O343" s="41"/>
      <c r="P343" s="41"/>
      <c r="Q343" s="41"/>
      <c r="R343" s="41"/>
      <c r="S343" s="41"/>
      <c r="T343" s="41"/>
      <c r="U343" s="41"/>
      <c r="V343" s="41"/>
      <c r="W343" s="41"/>
      <c r="X343" s="41"/>
      <c r="Y343" s="41"/>
      <c r="Z343" s="41"/>
      <c r="AA343" s="41"/>
    </row>
    <row r="344" spans="1:27" x14ac:dyDescent="0.3">
      <c r="A344" s="41"/>
      <c r="B344" s="41"/>
      <c r="C344" s="41"/>
      <c r="D344" s="41"/>
      <c r="E344" s="41"/>
      <c r="F344" s="41"/>
      <c r="G344" s="41"/>
      <c r="H344" s="41"/>
      <c r="I344" s="41"/>
      <c r="J344" s="41"/>
      <c r="K344" s="41"/>
      <c r="L344" s="41"/>
      <c r="M344" s="41"/>
      <c r="N344" s="41"/>
      <c r="O344" s="41"/>
      <c r="P344" s="41"/>
      <c r="Q344" s="41"/>
      <c r="R344" s="41"/>
      <c r="S344" s="41"/>
      <c r="T344" s="41"/>
      <c r="U344" s="41"/>
      <c r="V344" s="41"/>
      <c r="W344" s="41"/>
      <c r="X344" s="41"/>
      <c r="Y344" s="41"/>
      <c r="Z344" s="41"/>
      <c r="AA344" s="41"/>
    </row>
    <row r="345" spans="1:27" x14ac:dyDescent="0.3">
      <c r="A345" s="41"/>
      <c r="B345" s="41"/>
      <c r="C345" s="41"/>
      <c r="D345" s="41"/>
      <c r="E345" s="41"/>
      <c r="F345" s="41"/>
      <c r="G345" s="41"/>
      <c r="H345" s="41"/>
      <c r="I345" s="41"/>
      <c r="J345" s="41"/>
      <c r="K345" s="41"/>
      <c r="L345" s="41"/>
      <c r="M345" s="41"/>
      <c r="N345" s="41"/>
      <c r="O345" s="41"/>
      <c r="P345" s="41"/>
      <c r="Q345" s="41"/>
      <c r="R345" s="41"/>
      <c r="S345" s="41"/>
      <c r="T345" s="41"/>
      <c r="U345" s="41"/>
      <c r="V345" s="41"/>
      <c r="W345" s="41"/>
      <c r="X345" s="41"/>
      <c r="Y345" s="41"/>
      <c r="Z345" s="41"/>
      <c r="AA345" s="41"/>
    </row>
    <row r="346" spans="1:27" x14ac:dyDescent="0.3">
      <c r="A346" s="41"/>
      <c r="B346" s="41"/>
      <c r="C346" s="41"/>
      <c r="D346" s="41"/>
      <c r="E346" s="41"/>
      <c r="F346" s="41"/>
      <c r="G346" s="41"/>
      <c r="H346" s="41"/>
      <c r="I346" s="41"/>
      <c r="J346" s="41"/>
      <c r="K346" s="41"/>
      <c r="L346" s="41"/>
      <c r="M346" s="41"/>
      <c r="N346" s="41"/>
      <c r="O346" s="41"/>
      <c r="P346" s="41"/>
      <c r="Q346" s="41"/>
      <c r="R346" s="41"/>
      <c r="S346" s="41"/>
      <c r="T346" s="41"/>
      <c r="U346" s="41"/>
      <c r="V346" s="41"/>
      <c r="W346" s="41"/>
      <c r="X346" s="41"/>
      <c r="Y346" s="41"/>
      <c r="Z346" s="41"/>
      <c r="AA346" s="41"/>
    </row>
    <row r="347" spans="1:27" x14ac:dyDescent="0.3">
      <c r="A347" s="41"/>
      <c r="B347" s="41"/>
      <c r="C347" s="41"/>
      <c r="D347" s="41"/>
      <c r="E347" s="41"/>
      <c r="F347" s="41"/>
      <c r="G347" s="41"/>
      <c r="H347" s="41"/>
      <c r="I347" s="41"/>
      <c r="J347" s="41"/>
      <c r="K347" s="41"/>
      <c r="L347" s="41"/>
      <c r="M347" s="41"/>
      <c r="N347" s="41"/>
      <c r="O347" s="41"/>
      <c r="P347" s="41"/>
      <c r="Q347" s="41"/>
      <c r="R347" s="41"/>
      <c r="S347" s="41"/>
      <c r="T347" s="41"/>
      <c r="U347" s="41"/>
      <c r="V347" s="41"/>
      <c r="W347" s="41"/>
      <c r="X347" s="41"/>
      <c r="Y347" s="41"/>
      <c r="Z347" s="41"/>
      <c r="AA347" s="41"/>
    </row>
    <row r="348" spans="1:27" x14ac:dyDescent="0.3">
      <c r="A348" s="41"/>
      <c r="B348" s="41"/>
      <c r="C348" s="41"/>
      <c r="D348" s="41"/>
      <c r="E348" s="41"/>
      <c r="F348" s="41"/>
      <c r="G348" s="41"/>
      <c r="H348" s="41"/>
      <c r="I348" s="41"/>
      <c r="J348" s="41"/>
      <c r="K348" s="41"/>
      <c r="L348" s="41"/>
      <c r="M348" s="41"/>
      <c r="N348" s="41"/>
      <c r="O348" s="41"/>
      <c r="P348" s="41"/>
      <c r="Q348" s="41"/>
      <c r="R348" s="41"/>
      <c r="S348" s="41"/>
      <c r="T348" s="41"/>
      <c r="U348" s="41"/>
      <c r="V348" s="41"/>
      <c r="W348" s="41"/>
      <c r="X348" s="41"/>
      <c r="Y348" s="41"/>
      <c r="Z348" s="41"/>
      <c r="AA348" s="41"/>
    </row>
    <row r="349" spans="1:27" x14ac:dyDescent="0.3">
      <c r="A349" s="41"/>
      <c r="B349" s="41"/>
      <c r="C349" s="41"/>
      <c r="D349" s="41"/>
      <c r="E349" s="41"/>
      <c r="F349" s="41"/>
      <c r="G349" s="41"/>
      <c r="H349" s="41"/>
      <c r="I349" s="41"/>
      <c r="J349" s="41"/>
      <c r="K349" s="41"/>
      <c r="L349" s="41"/>
      <c r="M349" s="41"/>
      <c r="N349" s="41"/>
      <c r="O349" s="41"/>
      <c r="P349" s="41"/>
      <c r="Q349" s="41"/>
      <c r="R349" s="41"/>
      <c r="S349" s="41"/>
      <c r="T349" s="41"/>
      <c r="U349" s="41"/>
      <c r="V349" s="41"/>
      <c r="W349" s="41"/>
      <c r="X349" s="41"/>
      <c r="Y349" s="41"/>
      <c r="Z349" s="41"/>
      <c r="AA349" s="41"/>
    </row>
    <row r="350" spans="1:27" x14ac:dyDescent="0.3">
      <c r="A350" s="41"/>
      <c r="B350" s="41"/>
      <c r="C350" s="41"/>
      <c r="D350" s="41"/>
      <c r="E350" s="41"/>
      <c r="F350" s="41"/>
      <c r="G350" s="41"/>
      <c r="H350" s="41"/>
      <c r="I350" s="41"/>
      <c r="J350" s="41"/>
      <c r="K350" s="41"/>
      <c r="L350" s="41"/>
      <c r="M350" s="41"/>
      <c r="N350" s="41"/>
      <c r="O350" s="41"/>
      <c r="P350" s="41"/>
      <c r="Q350" s="41"/>
      <c r="R350" s="41"/>
      <c r="S350" s="41"/>
      <c r="T350" s="41"/>
      <c r="U350" s="41"/>
      <c r="V350" s="41"/>
      <c r="W350" s="41"/>
      <c r="X350" s="41"/>
      <c r="Y350" s="41"/>
      <c r="Z350" s="41"/>
      <c r="AA350" s="41"/>
    </row>
    <row r="351" spans="1:27" x14ac:dyDescent="0.3">
      <c r="A351" s="41"/>
      <c r="B351" s="41"/>
      <c r="C351" s="41"/>
      <c r="D351" s="41"/>
      <c r="E351" s="41"/>
      <c r="F351" s="41"/>
      <c r="G351" s="41"/>
      <c r="H351" s="41"/>
      <c r="I351" s="41"/>
      <c r="J351" s="41"/>
      <c r="K351" s="41"/>
      <c r="L351" s="41"/>
      <c r="M351" s="41"/>
      <c r="N351" s="41"/>
      <c r="O351" s="41"/>
      <c r="P351" s="41"/>
      <c r="Q351" s="41"/>
      <c r="R351" s="41"/>
      <c r="S351" s="41"/>
      <c r="T351" s="41"/>
      <c r="U351" s="41"/>
      <c r="V351" s="41"/>
      <c r="W351" s="41"/>
      <c r="X351" s="41"/>
      <c r="Y351" s="41"/>
      <c r="Z351" s="41"/>
      <c r="AA351" s="41"/>
    </row>
    <row r="352" spans="1:27" x14ac:dyDescent="0.3">
      <c r="A352" s="41"/>
      <c r="B352" s="41"/>
      <c r="C352" s="41"/>
      <c r="D352" s="41"/>
      <c r="E352" s="41"/>
      <c r="F352" s="41"/>
      <c r="G352" s="41"/>
      <c r="H352" s="41"/>
      <c r="I352" s="41"/>
      <c r="J352" s="41"/>
      <c r="K352" s="41"/>
      <c r="L352" s="41"/>
      <c r="M352" s="41"/>
      <c r="N352" s="41"/>
      <c r="O352" s="41"/>
      <c r="P352" s="41"/>
      <c r="Q352" s="41"/>
      <c r="R352" s="41"/>
      <c r="S352" s="41"/>
      <c r="T352" s="41"/>
      <c r="U352" s="41"/>
      <c r="V352" s="41"/>
      <c r="W352" s="41"/>
      <c r="X352" s="41"/>
      <c r="Y352" s="41"/>
      <c r="Z352" s="41"/>
      <c r="AA352" s="41"/>
    </row>
    <row r="353" spans="1:27" x14ac:dyDescent="0.3">
      <c r="A353" s="41"/>
      <c r="B353" s="41"/>
      <c r="C353" s="41"/>
      <c r="D353" s="41"/>
      <c r="E353" s="41"/>
      <c r="F353" s="41"/>
      <c r="G353" s="41"/>
      <c r="H353" s="41"/>
      <c r="I353" s="41"/>
      <c r="J353" s="41"/>
      <c r="K353" s="41"/>
      <c r="L353" s="41"/>
      <c r="M353" s="41"/>
      <c r="N353" s="41"/>
      <c r="O353" s="41"/>
      <c r="P353" s="41"/>
      <c r="Q353" s="41"/>
      <c r="R353" s="41"/>
      <c r="S353" s="41"/>
      <c r="T353" s="41"/>
      <c r="U353" s="41"/>
      <c r="V353" s="41"/>
      <c r="W353" s="41"/>
      <c r="X353" s="41"/>
      <c r="Y353" s="41"/>
      <c r="Z353" s="41"/>
      <c r="AA353" s="41"/>
    </row>
    <row r="354" spans="1:27" x14ac:dyDescent="0.3">
      <c r="A354" s="41"/>
      <c r="B354" s="41"/>
      <c r="C354" s="41"/>
      <c r="D354" s="41"/>
      <c r="E354" s="41"/>
      <c r="F354" s="41"/>
      <c r="G354" s="41"/>
      <c r="H354" s="41"/>
      <c r="I354" s="41"/>
      <c r="J354" s="41"/>
      <c r="K354" s="41"/>
      <c r="L354" s="41"/>
      <c r="M354" s="41"/>
      <c r="N354" s="41"/>
      <c r="O354" s="41"/>
      <c r="P354" s="41"/>
      <c r="Q354" s="41"/>
      <c r="R354" s="41"/>
      <c r="S354" s="41"/>
      <c r="T354" s="41"/>
      <c r="U354" s="41"/>
      <c r="V354" s="41"/>
      <c r="W354" s="41"/>
      <c r="X354" s="41"/>
      <c r="Y354" s="41"/>
      <c r="Z354" s="41"/>
      <c r="AA354" s="41"/>
    </row>
    <row r="355" spans="1:27" x14ac:dyDescent="0.3">
      <c r="A355" s="41"/>
      <c r="B355" s="41"/>
      <c r="C355" s="41"/>
      <c r="D355" s="41"/>
      <c r="E355" s="41"/>
      <c r="F355" s="41"/>
      <c r="G355" s="41"/>
      <c r="H355" s="41"/>
      <c r="I355" s="41"/>
      <c r="J355" s="41"/>
      <c r="K355" s="41"/>
      <c r="L355" s="41"/>
      <c r="M355" s="41"/>
      <c r="N355" s="41"/>
      <c r="O355" s="41"/>
      <c r="P355" s="41"/>
      <c r="Q355" s="41"/>
      <c r="R355" s="41"/>
      <c r="S355" s="41"/>
      <c r="T355" s="41"/>
      <c r="U355" s="41"/>
      <c r="V355" s="41"/>
      <c r="W355" s="41"/>
      <c r="X355" s="41"/>
      <c r="Y355" s="41"/>
      <c r="Z355" s="41"/>
      <c r="AA355" s="41"/>
    </row>
    <row r="356" spans="1:27" x14ac:dyDescent="0.3">
      <c r="A356" s="41"/>
      <c r="B356" s="41"/>
      <c r="C356" s="41"/>
      <c r="D356" s="41"/>
      <c r="E356" s="41"/>
      <c r="F356" s="41"/>
      <c r="G356" s="41"/>
      <c r="H356" s="41"/>
      <c r="I356" s="41"/>
      <c r="J356" s="41"/>
      <c r="K356" s="41"/>
      <c r="L356" s="41"/>
      <c r="M356" s="41"/>
      <c r="N356" s="41"/>
      <c r="O356" s="41"/>
      <c r="P356" s="41"/>
      <c r="Q356" s="41"/>
      <c r="R356" s="41"/>
      <c r="S356" s="41"/>
      <c r="T356" s="41"/>
      <c r="U356" s="41"/>
      <c r="V356" s="41"/>
      <c r="W356" s="41"/>
      <c r="X356" s="41"/>
      <c r="Y356" s="41"/>
      <c r="Z356" s="41"/>
      <c r="AA356" s="41"/>
    </row>
    <row r="357" spans="1:27" x14ac:dyDescent="0.3">
      <c r="A357" s="41"/>
      <c r="B357" s="41"/>
      <c r="C357" s="41"/>
      <c r="D357" s="41"/>
      <c r="E357" s="41"/>
      <c r="F357" s="41"/>
      <c r="G357" s="41"/>
      <c r="H357" s="41"/>
      <c r="I357" s="41"/>
      <c r="J357" s="41"/>
      <c r="K357" s="41"/>
      <c r="L357" s="41"/>
      <c r="M357" s="41"/>
      <c r="N357" s="41"/>
      <c r="O357" s="41"/>
      <c r="P357" s="41"/>
      <c r="Q357" s="41"/>
      <c r="R357" s="41"/>
      <c r="S357" s="41"/>
      <c r="T357" s="41"/>
      <c r="U357" s="41"/>
      <c r="V357" s="41"/>
      <c r="W357" s="41"/>
      <c r="X357" s="41"/>
      <c r="Y357" s="41"/>
      <c r="Z357" s="41"/>
      <c r="AA357" s="41"/>
    </row>
    <row r="358" spans="1:27" x14ac:dyDescent="0.3">
      <c r="A358" s="41"/>
      <c r="B358" s="41"/>
      <c r="C358" s="41"/>
      <c r="D358" s="41"/>
      <c r="E358" s="41"/>
      <c r="F358" s="41"/>
      <c r="G358" s="41"/>
      <c r="H358" s="41"/>
      <c r="I358" s="41"/>
      <c r="J358" s="41"/>
      <c r="K358" s="41"/>
      <c r="L358" s="41"/>
      <c r="M358" s="41"/>
      <c r="N358" s="41"/>
      <c r="O358" s="41"/>
      <c r="P358" s="41"/>
      <c r="Q358" s="41"/>
      <c r="R358" s="41"/>
      <c r="S358" s="41"/>
      <c r="T358" s="41"/>
      <c r="U358" s="41"/>
      <c r="V358" s="41"/>
      <c r="W358" s="41"/>
      <c r="X358" s="41"/>
      <c r="Y358" s="41"/>
      <c r="Z358" s="41"/>
      <c r="AA358" s="41"/>
    </row>
    <row r="359" spans="1:27" x14ac:dyDescent="0.3">
      <c r="A359" s="41"/>
      <c r="B359" s="41"/>
      <c r="C359" s="41"/>
      <c r="D359" s="41"/>
      <c r="E359" s="41"/>
      <c r="F359" s="41"/>
      <c r="G359" s="41"/>
      <c r="H359" s="41"/>
      <c r="I359" s="41"/>
      <c r="J359" s="41"/>
      <c r="K359" s="41"/>
      <c r="L359" s="41"/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/>
      <c r="Y359" s="41"/>
      <c r="Z359" s="41"/>
      <c r="AA359" s="41"/>
    </row>
    <row r="360" spans="1:27" x14ac:dyDescent="0.3">
      <c r="A360" s="41"/>
      <c r="B360" s="41"/>
      <c r="C360" s="41"/>
      <c r="D360" s="41"/>
      <c r="E360" s="41"/>
      <c r="F360" s="41"/>
      <c r="G360" s="41"/>
      <c r="H360" s="41"/>
      <c r="I360" s="41"/>
      <c r="J360" s="41"/>
      <c r="K360" s="41"/>
      <c r="L360" s="41"/>
      <c r="M360" s="41"/>
      <c r="N360" s="41"/>
      <c r="O360" s="41"/>
      <c r="P360" s="41"/>
      <c r="Q360" s="41"/>
      <c r="R360" s="41"/>
      <c r="S360" s="41"/>
      <c r="T360" s="41"/>
      <c r="U360" s="41"/>
      <c r="V360" s="41"/>
      <c r="W360" s="41"/>
      <c r="X360" s="41"/>
      <c r="Y360" s="41"/>
      <c r="Z360" s="41"/>
      <c r="AA360" s="41"/>
    </row>
    <row r="361" spans="1:27" x14ac:dyDescent="0.3">
      <c r="A361" s="41"/>
      <c r="B361" s="41"/>
      <c r="C361" s="41"/>
      <c r="D361" s="41"/>
      <c r="E361" s="41"/>
      <c r="F361" s="41"/>
      <c r="G361" s="41"/>
      <c r="H361" s="41"/>
      <c r="I361" s="41"/>
      <c r="J361" s="41"/>
      <c r="K361" s="41"/>
      <c r="L361" s="41"/>
      <c r="M361" s="41"/>
      <c r="N361" s="41"/>
      <c r="O361" s="41"/>
      <c r="P361" s="41"/>
      <c r="Q361" s="41"/>
      <c r="R361" s="41"/>
      <c r="S361" s="41"/>
      <c r="T361" s="41"/>
      <c r="U361" s="41"/>
      <c r="V361" s="41"/>
      <c r="W361" s="41"/>
      <c r="X361" s="41"/>
      <c r="Y361" s="41"/>
      <c r="Z361" s="41"/>
      <c r="AA361" s="41"/>
    </row>
    <row r="362" spans="1:27" x14ac:dyDescent="0.3">
      <c r="A362" s="41"/>
      <c r="B362" s="41"/>
      <c r="C362" s="41"/>
      <c r="D362" s="41"/>
      <c r="E362" s="41"/>
      <c r="F362" s="41"/>
      <c r="G362" s="41"/>
      <c r="H362" s="41"/>
      <c r="I362" s="41"/>
      <c r="J362" s="41"/>
      <c r="K362" s="41"/>
      <c r="L362" s="41"/>
      <c r="M362" s="41"/>
      <c r="N362" s="41"/>
      <c r="O362" s="41"/>
      <c r="P362" s="41"/>
      <c r="Q362" s="41"/>
      <c r="R362" s="41"/>
      <c r="S362" s="41"/>
      <c r="T362" s="41"/>
      <c r="U362" s="41"/>
      <c r="V362" s="41"/>
      <c r="W362" s="41"/>
      <c r="X362" s="41"/>
      <c r="Y362" s="41"/>
      <c r="Z362" s="41"/>
      <c r="AA362" s="41"/>
    </row>
    <row r="363" spans="1:27" x14ac:dyDescent="0.3">
      <c r="A363" s="41"/>
      <c r="B363" s="41"/>
      <c r="C363" s="41"/>
      <c r="D363" s="41"/>
      <c r="E363" s="41"/>
      <c r="F363" s="41"/>
      <c r="G363" s="41"/>
      <c r="H363" s="41"/>
      <c r="I363" s="41"/>
      <c r="J363" s="41"/>
      <c r="K363" s="41"/>
      <c r="L363" s="41"/>
      <c r="M363" s="41"/>
      <c r="N363" s="41"/>
      <c r="O363" s="41"/>
      <c r="P363" s="41"/>
      <c r="Q363" s="41"/>
      <c r="R363" s="41"/>
      <c r="S363" s="41"/>
      <c r="T363" s="41"/>
      <c r="U363" s="41"/>
      <c r="V363" s="41"/>
      <c r="W363" s="41"/>
      <c r="X363" s="41"/>
      <c r="Y363" s="41"/>
      <c r="Z363" s="41"/>
      <c r="AA363" s="41"/>
    </row>
    <row r="364" spans="1:27" x14ac:dyDescent="0.3">
      <c r="A364" s="41"/>
      <c r="B364" s="41"/>
      <c r="C364" s="41"/>
      <c r="D364" s="41"/>
      <c r="E364" s="41"/>
      <c r="F364" s="41"/>
      <c r="G364" s="41"/>
      <c r="H364" s="41"/>
      <c r="I364" s="41"/>
      <c r="J364" s="41"/>
      <c r="K364" s="41"/>
      <c r="L364" s="41"/>
      <c r="M364" s="41"/>
      <c r="N364" s="41"/>
      <c r="O364" s="41"/>
      <c r="P364" s="41"/>
      <c r="Q364" s="41"/>
      <c r="R364" s="41"/>
      <c r="S364" s="41"/>
      <c r="T364" s="41"/>
      <c r="U364" s="41"/>
      <c r="V364" s="41"/>
      <c r="W364" s="41"/>
      <c r="X364" s="41"/>
      <c r="Y364" s="41"/>
      <c r="Z364" s="41"/>
      <c r="AA364" s="41"/>
    </row>
    <row r="365" spans="1:27" x14ac:dyDescent="0.3">
      <c r="A365" s="41"/>
      <c r="B365" s="41"/>
      <c r="C365" s="41"/>
      <c r="D365" s="41"/>
      <c r="E365" s="41"/>
      <c r="F365" s="41"/>
      <c r="G365" s="41"/>
      <c r="H365" s="41"/>
      <c r="I365" s="41"/>
      <c r="J365" s="41"/>
      <c r="K365" s="41"/>
      <c r="L365" s="41"/>
      <c r="M365" s="41"/>
      <c r="N365" s="41"/>
      <c r="O365" s="41"/>
      <c r="P365" s="41"/>
      <c r="Q365" s="41"/>
      <c r="R365" s="41"/>
      <c r="S365" s="41"/>
      <c r="T365" s="41"/>
      <c r="U365" s="41"/>
      <c r="V365" s="41"/>
      <c r="W365" s="41"/>
      <c r="X365" s="41"/>
      <c r="Y365" s="41"/>
      <c r="Z365" s="41"/>
      <c r="AA365" s="41"/>
    </row>
    <row r="366" spans="1:27" x14ac:dyDescent="0.3">
      <c r="A366" s="41"/>
      <c r="B366" s="41"/>
      <c r="C366" s="41"/>
      <c r="D366" s="41"/>
      <c r="E366" s="41"/>
      <c r="F366" s="41"/>
      <c r="G366" s="41"/>
      <c r="H366" s="41"/>
      <c r="I366" s="41"/>
      <c r="J366" s="41"/>
      <c r="K366" s="41"/>
      <c r="L366" s="41"/>
      <c r="M366" s="41"/>
      <c r="N366" s="41"/>
      <c r="O366" s="41"/>
      <c r="P366" s="41"/>
      <c r="Q366" s="41"/>
      <c r="R366" s="41"/>
      <c r="S366" s="41"/>
      <c r="T366" s="41"/>
      <c r="U366" s="41"/>
      <c r="V366" s="41"/>
      <c r="W366" s="41"/>
      <c r="X366" s="41"/>
      <c r="Y366" s="41"/>
      <c r="Z366" s="41"/>
      <c r="AA366" s="41"/>
    </row>
    <row r="367" spans="1:27" x14ac:dyDescent="0.3">
      <c r="A367" s="41"/>
      <c r="B367" s="41"/>
      <c r="C367" s="41"/>
      <c r="D367" s="41"/>
      <c r="E367" s="41"/>
      <c r="F367" s="41"/>
      <c r="G367" s="41"/>
      <c r="H367" s="41"/>
      <c r="I367" s="41"/>
      <c r="J367" s="41"/>
      <c r="K367" s="41"/>
      <c r="L367" s="41"/>
      <c r="M367" s="41"/>
      <c r="N367" s="41"/>
      <c r="O367" s="41"/>
      <c r="P367" s="41"/>
      <c r="Q367" s="41"/>
      <c r="R367" s="41"/>
      <c r="S367" s="41"/>
      <c r="T367" s="41"/>
      <c r="U367" s="41"/>
      <c r="V367" s="41"/>
      <c r="W367" s="41"/>
      <c r="X367" s="41"/>
      <c r="Y367" s="41"/>
      <c r="Z367" s="41"/>
      <c r="AA367" s="41"/>
    </row>
    <row r="368" spans="1:27" x14ac:dyDescent="0.3">
      <c r="A368" s="41"/>
      <c r="B368" s="41"/>
      <c r="C368" s="41"/>
      <c r="D368" s="41"/>
      <c r="E368" s="41"/>
      <c r="F368" s="41"/>
      <c r="G368" s="41"/>
      <c r="H368" s="41"/>
      <c r="I368" s="41"/>
      <c r="J368" s="41"/>
      <c r="K368" s="41"/>
      <c r="L368" s="41"/>
      <c r="M368" s="41"/>
      <c r="N368" s="41"/>
      <c r="O368" s="41"/>
      <c r="P368" s="41"/>
      <c r="Q368" s="41"/>
      <c r="R368" s="41"/>
      <c r="S368" s="41"/>
      <c r="T368" s="41"/>
      <c r="U368" s="41"/>
      <c r="V368" s="41"/>
      <c r="W368" s="41"/>
      <c r="X368" s="41"/>
      <c r="Y368" s="41"/>
      <c r="Z368" s="41"/>
      <c r="AA368" s="41"/>
    </row>
    <row r="369" spans="1:27" x14ac:dyDescent="0.3">
      <c r="A369" s="41"/>
      <c r="B369" s="41"/>
      <c r="C369" s="41"/>
      <c r="D369" s="41"/>
      <c r="E369" s="41"/>
      <c r="F369" s="41"/>
      <c r="G369" s="41"/>
      <c r="H369" s="41"/>
      <c r="I369" s="41"/>
      <c r="J369" s="41"/>
      <c r="K369" s="41"/>
      <c r="L369" s="41"/>
      <c r="M369" s="41"/>
      <c r="N369" s="41"/>
      <c r="O369" s="41"/>
      <c r="P369" s="41"/>
      <c r="Q369" s="41"/>
      <c r="R369" s="41"/>
      <c r="S369" s="41"/>
      <c r="T369" s="41"/>
      <c r="U369" s="41"/>
      <c r="V369" s="41"/>
      <c r="W369" s="41"/>
      <c r="X369" s="41"/>
      <c r="Y369" s="41"/>
      <c r="Z369" s="41"/>
      <c r="AA369" s="41"/>
    </row>
    <row r="370" spans="1:27" x14ac:dyDescent="0.3">
      <c r="A370" s="41"/>
      <c r="B370" s="41"/>
      <c r="C370" s="41"/>
      <c r="D370" s="41"/>
      <c r="E370" s="41"/>
      <c r="F370" s="41"/>
      <c r="G370" s="41"/>
      <c r="H370" s="41"/>
      <c r="I370" s="41"/>
      <c r="J370" s="41"/>
      <c r="K370" s="41"/>
      <c r="L370" s="41"/>
      <c r="M370" s="41"/>
      <c r="N370" s="41"/>
      <c r="O370" s="41"/>
      <c r="P370" s="41"/>
      <c r="Q370" s="41"/>
      <c r="R370" s="41"/>
      <c r="S370" s="41"/>
      <c r="T370" s="41"/>
      <c r="U370" s="41"/>
      <c r="V370" s="41"/>
      <c r="W370" s="41"/>
      <c r="X370" s="41"/>
      <c r="Y370" s="41"/>
      <c r="Z370" s="41"/>
      <c r="AA370" s="41"/>
    </row>
    <row r="371" spans="1:27" x14ac:dyDescent="0.3">
      <c r="A371" s="41"/>
      <c r="B371" s="41"/>
      <c r="C371" s="41"/>
      <c r="D371" s="41"/>
      <c r="E371" s="41"/>
      <c r="F371" s="41"/>
      <c r="G371" s="41"/>
      <c r="H371" s="41"/>
      <c r="I371" s="41"/>
      <c r="J371" s="41"/>
      <c r="K371" s="41"/>
      <c r="L371" s="41"/>
      <c r="M371" s="41"/>
      <c r="N371" s="41"/>
      <c r="O371" s="41"/>
      <c r="P371" s="41"/>
      <c r="Q371" s="41"/>
      <c r="R371" s="41"/>
      <c r="S371" s="41"/>
      <c r="T371" s="41"/>
      <c r="U371" s="41"/>
      <c r="V371" s="41"/>
      <c r="W371" s="41"/>
      <c r="X371" s="41"/>
      <c r="Y371" s="41"/>
      <c r="Z371" s="41"/>
      <c r="AA371" s="41"/>
    </row>
    <row r="372" spans="1:27" x14ac:dyDescent="0.3">
      <c r="A372" s="41"/>
      <c r="B372" s="41"/>
      <c r="C372" s="41"/>
      <c r="D372" s="41"/>
      <c r="E372" s="41"/>
      <c r="F372" s="41"/>
      <c r="G372" s="41"/>
      <c r="H372" s="41"/>
      <c r="I372" s="41"/>
      <c r="J372" s="41"/>
      <c r="K372" s="41"/>
      <c r="L372" s="41"/>
      <c r="M372" s="41"/>
      <c r="N372" s="41"/>
      <c r="O372" s="41"/>
      <c r="P372" s="41"/>
      <c r="Q372" s="41"/>
      <c r="R372" s="41"/>
      <c r="S372" s="41"/>
      <c r="T372" s="41"/>
      <c r="U372" s="41"/>
      <c r="V372" s="41"/>
      <c r="W372" s="41"/>
      <c r="X372" s="41"/>
      <c r="Y372" s="41"/>
      <c r="Z372" s="41"/>
      <c r="AA372" s="41"/>
    </row>
    <row r="373" spans="1:27" x14ac:dyDescent="0.3">
      <c r="A373" s="41"/>
      <c r="B373" s="41"/>
      <c r="C373" s="41"/>
      <c r="D373" s="41"/>
      <c r="E373" s="41"/>
      <c r="F373" s="41"/>
      <c r="G373" s="41"/>
      <c r="H373" s="41"/>
      <c r="I373" s="41"/>
      <c r="J373" s="41"/>
      <c r="K373" s="41"/>
      <c r="L373" s="41"/>
      <c r="M373" s="41"/>
      <c r="N373" s="41"/>
      <c r="O373" s="41"/>
      <c r="P373" s="41"/>
      <c r="Q373" s="41"/>
      <c r="R373" s="41"/>
      <c r="S373" s="41"/>
      <c r="T373" s="41"/>
      <c r="U373" s="41"/>
      <c r="V373" s="41"/>
      <c r="W373" s="41"/>
      <c r="X373" s="41"/>
      <c r="Y373" s="41"/>
      <c r="Z373" s="41"/>
      <c r="AA373" s="41"/>
    </row>
    <row r="374" spans="1:27" x14ac:dyDescent="0.3">
      <c r="A374" s="41"/>
      <c r="B374" s="41"/>
      <c r="C374" s="41"/>
      <c r="D374" s="41"/>
      <c r="E374" s="41"/>
      <c r="F374" s="41"/>
      <c r="G374" s="41"/>
      <c r="H374" s="41"/>
      <c r="I374" s="41"/>
      <c r="J374" s="41"/>
      <c r="K374" s="41"/>
      <c r="L374" s="41"/>
      <c r="M374" s="41"/>
      <c r="N374" s="41"/>
      <c r="O374" s="41"/>
      <c r="P374" s="41"/>
      <c r="Q374" s="41"/>
      <c r="R374" s="41"/>
      <c r="S374" s="41"/>
      <c r="T374" s="41"/>
      <c r="U374" s="41"/>
      <c r="V374" s="41"/>
      <c r="W374" s="41"/>
      <c r="X374" s="41"/>
      <c r="Y374" s="41"/>
      <c r="Z374" s="41"/>
      <c r="AA374" s="41"/>
    </row>
    <row r="375" spans="1:27" x14ac:dyDescent="0.3">
      <c r="A375" s="41"/>
      <c r="B375" s="41"/>
      <c r="C375" s="41"/>
      <c r="D375" s="41"/>
      <c r="E375" s="41"/>
      <c r="F375" s="41"/>
      <c r="G375" s="41"/>
      <c r="H375" s="41"/>
      <c r="I375" s="41"/>
      <c r="J375" s="41"/>
      <c r="K375" s="41"/>
      <c r="L375" s="41"/>
      <c r="M375" s="41"/>
      <c r="N375" s="41"/>
      <c r="O375" s="41"/>
      <c r="P375" s="41"/>
      <c r="Q375" s="41"/>
      <c r="R375" s="41"/>
      <c r="S375" s="41"/>
      <c r="T375" s="41"/>
      <c r="U375" s="41"/>
      <c r="V375" s="41"/>
      <c r="W375" s="41"/>
      <c r="X375" s="41"/>
      <c r="Y375" s="41"/>
      <c r="Z375" s="41"/>
      <c r="AA375" s="41"/>
    </row>
    <row r="376" spans="1:27" x14ac:dyDescent="0.3">
      <c r="A376" s="41"/>
      <c r="B376" s="41"/>
      <c r="C376" s="41"/>
      <c r="D376" s="41"/>
      <c r="E376" s="41"/>
      <c r="F376" s="41"/>
      <c r="G376" s="41"/>
      <c r="H376" s="41"/>
      <c r="I376" s="41"/>
      <c r="J376" s="41"/>
      <c r="K376" s="41"/>
      <c r="L376" s="41"/>
      <c r="M376" s="41"/>
      <c r="N376" s="41"/>
      <c r="O376" s="41"/>
      <c r="P376" s="41"/>
      <c r="Q376" s="41"/>
      <c r="R376" s="41"/>
      <c r="S376" s="41"/>
      <c r="T376" s="41"/>
      <c r="U376" s="41"/>
      <c r="V376" s="41"/>
      <c r="W376" s="41"/>
      <c r="X376" s="41"/>
      <c r="Y376" s="41"/>
      <c r="Z376" s="41"/>
      <c r="AA376" s="41"/>
    </row>
    <row r="377" spans="1:27" x14ac:dyDescent="0.3">
      <c r="A377" s="41"/>
      <c r="B377" s="41"/>
      <c r="C377" s="41"/>
      <c r="D377" s="41"/>
      <c r="E377" s="41"/>
      <c r="F377" s="41"/>
      <c r="G377" s="41"/>
      <c r="H377" s="41"/>
      <c r="I377" s="41"/>
      <c r="J377" s="41"/>
      <c r="K377" s="41"/>
      <c r="L377" s="41"/>
      <c r="M377" s="41"/>
      <c r="N377" s="41"/>
      <c r="O377" s="41"/>
      <c r="P377" s="41"/>
      <c r="Q377" s="41"/>
      <c r="R377" s="41"/>
      <c r="S377" s="41"/>
      <c r="T377" s="41"/>
      <c r="U377" s="41"/>
      <c r="V377" s="41"/>
      <c r="W377" s="41"/>
      <c r="X377" s="41"/>
      <c r="Y377" s="41"/>
      <c r="Z377" s="41"/>
      <c r="AA377" s="41"/>
    </row>
    <row r="378" spans="1:27" x14ac:dyDescent="0.3">
      <c r="A378" s="41"/>
      <c r="B378" s="41"/>
      <c r="C378" s="41"/>
      <c r="D378" s="41"/>
      <c r="E378" s="41"/>
      <c r="F378" s="41"/>
      <c r="G378" s="41"/>
      <c r="H378" s="41"/>
      <c r="I378" s="41"/>
      <c r="J378" s="41"/>
      <c r="K378" s="41"/>
      <c r="L378" s="41"/>
      <c r="M378" s="41"/>
      <c r="N378" s="41"/>
      <c r="O378" s="41"/>
      <c r="P378" s="41"/>
      <c r="Q378" s="41"/>
      <c r="R378" s="41"/>
      <c r="S378" s="41"/>
      <c r="T378" s="41"/>
      <c r="U378" s="41"/>
      <c r="V378" s="41"/>
      <c r="W378" s="41"/>
      <c r="X378" s="41"/>
      <c r="Y378" s="41"/>
      <c r="Z378" s="41"/>
      <c r="AA378" s="41"/>
    </row>
    <row r="379" spans="1:27" x14ac:dyDescent="0.3">
      <c r="A379" s="41"/>
      <c r="B379" s="41"/>
      <c r="C379" s="41"/>
      <c r="D379" s="41"/>
      <c r="E379" s="41"/>
      <c r="F379" s="41"/>
      <c r="G379" s="41"/>
      <c r="H379" s="41"/>
      <c r="I379" s="41"/>
      <c r="J379" s="41"/>
      <c r="K379" s="41"/>
      <c r="L379" s="41"/>
      <c r="M379" s="41"/>
      <c r="N379" s="41"/>
      <c r="O379" s="41"/>
      <c r="P379" s="41"/>
      <c r="Q379" s="41"/>
      <c r="R379" s="41"/>
      <c r="S379" s="41"/>
      <c r="T379" s="41"/>
      <c r="U379" s="41"/>
      <c r="V379" s="41"/>
      <c r="W379" s="41"/>
      <c r="X379" s="41"/>
      <c r="Y379" s="41"/>
      <c r="Z379" s="41"/>
      <c r="AA379" s="41"/>
    </row>
    <row r="380" spans="1:27" x14ac:dyDescent="0.3">
      <c r="A380" s="41"/>
      <c r="B380" s="41"/>
      <c r="C380" s="41"/>
      <c r="D380" s="41"/>
      <c r="E380" s="41"/>
      <c r="F380" s="41"/>
      <c r="G380" s="41"/>
      <c r="H380" s="41"/>
      <c r="I380" s="41"/>
      <c r="J380" s="41"/>
      <c r="K380" s="41"/>
      <c r="L380" s="41"/>
      <c r="M380" s="41"/>
      <c r="N380" s="41"/>
      <c r="O380" s="41"/>
      <c r="P380" s="41"/>
      <c r="Q380" s="41"/>
      <c r="R380" s="41"/>
      <c r="S380" s="41"/>
      <c r="T380" s="41"/>
      <c r="U380" s="41"/>
      <c r="V380" s="41"/>
      <c r="W380" s="41"/>
      <c r="X380" s="41"/>
      <c r="Y380" s="41"/>
      <c r="Z380" s="41"/>
      <c r="AA380" s="41"/>
    </row>
    <row r="381" spans="1:27" x14ac:dyDescent="0.3">
      <c r="A381" s="41"/>
      <c r="B381" s="41"/>
      <c r="C381" s="41"/>
      <c r="D381" s="41"/>
      <c r="E381" s="41"/>
      <c r="F381" s="41"/>
      <c r="G381" s="41"/>
      <c r="H381" s="41"/>
      <c r="I381" s="41"/>
      <c r="J381" s="41"/>
      <c r="K381" s="41"/>
      <c r="L381" s="41"/>
      <c r="M381" s="41"/>
      <c r="N381" s="41"/>
      <c r="O381" s="41"/>
      <c r="P381" s="41"/>
      <c r="Q381" s="41"/>
      <c r="R381" s="41"/>
      <c r="S381" s="41"/>
      <c r="T381" s="41"/>
      <c r="U381" s="41"/>
      <c r="V381" s="41"/>
      <c r="W381" s="41"/>
      <c r="X381" s="41"/>
      <c r="Y381" s="41"/>
      <c r="Z381" s="41"/>
      <c r="AA381" s="41"/>
    </row>
    <row r="382" spans="1:27" x14ac:dyDescent="0.3">
      <c r="A382" s="41"/>
      <c r="B382" s="41"/>
      <c r="C382" s="41"/>
      <c r="D382" s="41"/>
      <c r="E382" s="41"/>
      <c r="F382" s="41"/>
      <c r="G382" s="41"/>
      <c r="H382" s="41"/>
      <c r="I382" s="41"/>
      <c r="J382" s="41"/>
      <c r="K382" s="41"/>
      <c r="L382" s="41"/>
      <c r="M382" s="41"/>
      <c r="N382" s="41"/>
      <c r="O382" s="41"/>
      <c r="P382" s="41"/>
      <c r="Q382" s="41"/>
      <c r="R382" s="41"/>
      <c r="S382" s="41"/>
      <c r="T382" s="41"/>
      <c r="U382" s="41"/>
      <c r="V382" s="41"/>
      <c r="W382" s="41"/>
      <c r="X382" s="41"/>
      <c r="Y382" s="41"/>
      <c r="Z382" s="41"/>
      <c r="AA382" s="41"/>
    </row>
    <row r="383" spans="1:27" x14ac:dyDescent="0.3">
      <c r="A383" s="41"/>
      <c r="B383" s="41"/>
      <c r="C383" s="41"/>
      <c r="D383" s="41"/>
      <c r="E383" s="41"/>
      <c r="F383" s="41"/>
      <c r="G383" s="41"/>
      <c r="H383" s="41"/>
      <c r="I383" s="41"/>
      <c r="J383" s="41"/>
      <c r="K383" s="41"/>
      <c r="L383" s="41"/>
      <c r="M383" s="41"/>
      <c r="N383" s="41"/>
      <c r="O383" s="41"/>
      <c r="P383" s="41"/>
      <c r="Q383" s="41"/>
      <c r="R383" s="41"/>
      <c r="S383" s="41"/>
      <c r="T383" s="41"/>
      <c r="U383" s="41"/>
      <c r="V383" s="41"/>
      <c r="W383" s="41"/>
      <c r="X383" s="41"/>
      <c r="Y383" s="41"/>
      <c r="Z383" s="41"/>
      <c r="AA383" s="41"/>
    </row>
    <row r="384" spans="1:27" x14ac:dyDescent="0.3">
      <c r="A384" s="41"/>
      <c r="B384" s="41"/>
      <c r="C384" s="41"/>
      <c r="D384" s="41"/>
      <c r="E384" s="41"/>
      <c r="F384" s="41"/>
      <c r="G384" s="41"/>
      <c r="H384" s="41"/>
      <c r="I384" s="41"/>
      <c r="J384" s="41"/>
      <c r="K384" s="41"/>
      <c r="L384" s="41"/>
      <c r="M384" s="41"/>
      <c r="N384" s="41"/>
      <c r="O384" s="41"/>
      <c r="P384" s="41"/>
      <c r="Q384" s="41"/>
      <c r="R384" s="41"/>
      <c r="S384" s="41"/>
      <c r="T384" s="41"/>
      <c r="U384" s="41"/>
      <c r="V384" s="41"/>
      <c r="W384" s="41"/>
      <c r="X384" s="41"/>
      <c r="Y384" s="41"/>
      <c r="Z384" s="41"/>
      <c r="AA384" s="41"/>
    </row>
    <row r="385" spans="1:27" x14ac:dyDescent="0.3">
      <c r="A385" s="41"/>
      <c r="B385" s="41"/>
      <c r="C385" s="41"/>
      <c r="D385" s="41"/>
      <c r="E385" s="41"/>
      <c r="F385" s="41"/>
      <c r="G385" s="41"/>
      <c r="H385" s="41"/>
      <c r="I385" s="41"/>
      <c r="J385" s="41"/>
      <c r="K385" s="41"/>
      <c r="L385" s="41"/>
      <c r="M385" s="41"/>
      <c r="N385" s="41"/>
      <c r="O385" s="41"/>
      <c r="P385" s="41"/>
      <c r="Q385" s="41"/>
      <c r="R385" s="41"/>
      <c r="S385" s="41"/>
      <c r="T385" s="41"/>
      <c r="U385" s="41"/>
      <c r="V385" s="41"/>
      <c r="W385" s="41"/>
      <c r="X385" s="41"/>
      <c r="Y385" s="41"/>
      <c r="Z385" s="41"/>
      <c r="AA385" s="41"/>
    </row>
    <row r="386" spans="1:27" x14ac:dyDescent="0.3">
      <c r="A386" s="41"/>
      <c r="B386" s="41"/>
      <c r="C386" s="41"/>
      <c r="D386" s="41"/>
      <c r="E386" s="41"/>
      <c r="F386" s="41"/>
      <c r="G386" s="41"/>
      <c r="H386" s="41"/>
      <c r="I386" s="41"/>
      <c r="J386" s="41"/>
      <c r="K386" s="41"/>
      <c r="L386" s="41"/>
      <c r="M386" s="41"/>
      <c r="N386" s="41"/>
      <c r="O386" s="41"/>
      <c r="P386" s="41"/>
      <c r="Q386" s="41"/>
      <c r="R386" s="41"/>
      <c r="S386" s="41"/>
      <c r="T386" s="41"/>
      <c r="U386" s="41"/>
      <c r="V386" s="41"/>
      <c r="W386" s="41"/>
      <c r="X386" s="41"/>
      <c r="Y386" s="41"/>
      <c r="Z386" s="41"/>
      <c r="AA386" s="41"/>
    </row>
    <row r="387" spans="1:27" x14ac:dyDescent="0.3">
      <c r="A387" s="41"/>
      <c r="B387" s="41"/>
      <c r="C387" s="41"/>
      <c r="D387" s="41"/>
      <c r="E387" s="41"/>
      <c r="F387" s="41"/>
      <c r="G387" s="41"/>
      <c r="H387" s="41"/>
      <c r="I387" s="41"/>
      <c r="J387" s="41"/>
      <c r="K387" s="41"/>
      <c r="L387" s="41"/>
      <c r="M387" s="41"/>
      <c r="N387" s="41"/>
      <c r="O387" s="41"/>
      <c r="P387" s="41"/>
      <c r="Q387" s="41"/>
      <c r="R387" s="41"/>
      <c r="S387" s="41"/>
      <c r="T387" s="41"/>
      <c r="U387" s="41"/>
      <c r="V387" s="41"/>
      <c r="W387" s="41"/>
      <c r="X387" s="41"/>
      <c r="Y387" s="41"/>
      <c r="Z387" s="41"/>
      <c r="AA387" s="41"/>
    </row>
    <row r="388" spans="1:27" x14ac:dyDescent="0.3">
      <c r="A388" s="41"/>
      <c r="B388" s="41"/>
      <c r="C388" s="41"/>
      <c r="D388" s="41"/>
      <c r="E388" s="41"/>
      <c r="F388" s="41"/>
      <c r="G388" s="41"/>
      <c r="H388" s="41"/>
      <c r="I388" s="41"/>
      <c r="J388" s="41"/>
      <c r="K388" s="41"/>
      <c r="L388" s="41"/>
      <c r="M388" s="41"/>
      <c r="N388" s="41"/>
      <c r="O388" s="41"/>
      <c r="P388" s="41"/>
      <c r="Q388" s="41"/>
      <c r="R388" s="41"/>
      <c r="S388" s="41"/>
      <c r="T388" s="41"/>
      <c r="U388" s="41"/>
      <c r="V388" s="41"/>
      <c r="W388" s="41"/>
      <c r="X388" s="41"/>
      <c r="Y388" s="41"/>
      <c r="Z388" s="41"/>
      <c r="AA388" s="41"/>
    </row>
    <row r="389" spans="1:27" x14ac:dyDescent="0.3">
      <c r="A389" s="41"/>
      <c r="B389" s="41"/>
      <c r="C389" s="41"/>
      <c r="D389" s="41"/>
      <c r="E389" s="41"/>
      <c r="F389" s="41"/>
      <c r="G389" s="41"/>
      <c r="H389" s="41"/>
      <c r="I389" s="41"/>
      <c r="J389" s="41"/>
      <c r="K389" s="41"/>
      <c r="L389" s="41"/>
      <c r="M389" s="41"/>
      <c r="N389" s="41"/>
      <c r="O389" s="41"/>
      <c r="P389" s="41"/>
      <c r="Q389" s="41"/>
      <c r="R389" s="41"/>
      <c r="S389" s="41"/>
      <c r="T389" s="41"/>
      <c r="U389" s="41"/>
      <c r="V389" s="41"/>
      <c r="W389" s="41"/>
      <c r="X389" s="41"/>
      <c r="Y389" s="41"/>
      <c r="Z389" s="41"/>
      <c r="AA389" s="41"/>
    </row>
    <row r="390" spans="1:27" x14ac:dyDescent="0.3">
      <c r="A390" s="41"/>
      <c r="B390" s="41"/>
      <c r="C390" s="41"/>
      <c r="D390" s="41"/>
      <c r="E390" s="41"/>
      <c r="F390" s="41"/>
      <c r="G390" s="41"/>
      <c r="H390" s="41"/>
      <c r="I390" s="41"/>
      <c r="J390" s="41"/>
      <c r="K390" s="41"/>
      <c r="L390" s="41"/>
      <c r="M390" s="41"/>
      <c r="N390" s="41"/>
      <c r="O390" s="41"/>
      <c r="P390" s="41"/>
      <c r="Q390" s="41"/>
      <c r="R390" s="41"/>
      <c r="S390" s="41"/>
      <c r="T390" s="41"/>
      <c r="U390" s="41"/>
      <c r="V390" s="41"/>
      <c r="W390" s="41"/>
      <c r="X390" s="41"/>
      <c r="Y390" s="41"/>
      <c r="Z390" s="41"/>
      <c r="AA390" s="41"/>
    </row>
    <row r="391" spans="1:27" x14ac:dyDescent="0.3">
      <c r="A391" s="41"/>
      <c r="B391" s="41"/>
      <c r="C391" s="41"/>
      <c r="D391" s="41"/>
      <c r="E391" s="41"/>
      <c r="F391" s="41"/>
      <c r="G391" s="41"/>
      <c r="H391" s="41"/>
      <c r="I391" s="41"/>
      <c r="J391" s="41"/>
      <c r="K391" s="41"/>
      <c r="L391" s="41"/>
      <c r="M391" s="41"/>
      <c r="N391" s="41"/>
      <c r="O391" s="41"/>
      <c r="P391" s="41"/>
      <c r="Q391" s="41"/>
      <c r="R391" s="41"/>
      <c r="S391" s="41"/>
      <c r="T391" s="41"/>
      <c r="U391" s="41"/>
      <c r="V391" s="41"/>
      <c r="W391" s="41"/>
      <c r="X391" s="41"/>
      <c r="Y391" s="41"/>
      <c r="Z391" s="41"/>
      <c r="AA391" s="41"/>
    </row>
    <row r="392" spans="1:27" x14ac:dyDescent="0.3">
      <c r="A392" s="41"/>
      <c r="B392" s="41"/>
      <c r="C392" s="41"/>
      <c r="D392" s="41"/>
      <c r="E392" s="41"/>
      <c r="F392" s="41"/>
      <c r="G392" s="41"/>
      <c r="H392" s="41"/>
      <c r="I392" s="41"/>
      <c r="J392" s="41"/>
      <c r="K392" s="41"/>
      <c r="L392" s="41"/>
      <c r="M392" s="41"/>
      <c r="N392" s="41"/>
      <c r="O392" s="41"/>
      <c r="P392" s="41"/>
      <c r="Q392" s="41"/>
      <c r="R392" s="41"/>
      <c r="S392" s="41"/>
      <c r="T392" s="41"/>
      <c r="U392" s="41"/>
      <c r="V392" s="41"/>
      <c r="W392" s="41"/>
      <c r="X392" s="41"/>
      <c r="Y392" s="41"/>
      <c r="Z392" s="41"/>
      <c r="AA392" s="41"/>
    </row>
    <row r="393" spans="1:27" x14ac:dyDescent="0.3">
      <c r="A393" s="41"/>
      <c r="B393" s="41"/>
      <c r="C393" s="41"/>
      <c r="D393" s="41"/>
      <c r="E393" s="41"/>
      <c r="F393" s="41"/>
      <c r="G393" s="41"/>
      <c r="H393" s="41"/>
      <c r="I393" s="41"/>
      <c r="J393" s="41"/>
      <c r="K393" s="41"/>
      <c r="L393" s="41"/>
      <c r="M393" s="41"/>
      <c r="N393" s="41"/>
      <c r="O393" s="41"/>
      <c r="P393" s="41"/>
      <c r="Q393" s="41"/>
      <c r="R393" s="41"/>
      <c r="S393" s="41"/>
      <c r="T393" s="41"/>
      <c r="U393" s="41"/>
      <c r="V393" s="41"/>
      <c r="W393" s="41"/>
      <c r="X393" s="41"/>
      <c r="Y393" s="41"/>
      <c r="Z393" s="41"/>
      <c r="AA393" s="41"/>
    </row>
    <row r="394" spans="1:27" x14ac:dyDescent="0.3">
      <c r="A394" s="41"/>
      <c r="B394" s="41"/>
      <c r="C394" s="41"/>
      <c r="D394" s="41"/>
      <c r="E394" s="41"/>
      <c r="F394" s="41"/>
      <c r="G394" s="41"/>
      <c r="H394" s="41"/>
      <c r="I394" s="41"/>
      <c r="J394" s="41"/>
      <c r="K394" s="41"/>
      <c r="L394" s="41"/>
      <c r="M394" s="41"/>
      <c r="N394" s="41"/>
      <c r="O394" s="41"/>
      <c r="P394" s="41"/>
      <c r="Q394" s="41"/>
      <c r="R394" s="41"/>
      <c r="S394" s="41"/>
      <c r="T394" s="41"/>
      <c r="U394" s="41"/>
      <c r="V394" s="41"/>
      <c r="W394" s="41"/>
      <c r="X394" s="41"/>
      <c r="Y394" s="41"/>
      <c r="Z394" s="41"/>
      <c r="AA394" s="41"/>
    </row>
    <row r="395" spans="1:27" x14ac:dyDescent="0.3">
      <c r="A395" s="41"/>
      <c r="B395" s="41"/>
      <c r="C395" s="41"/>
      <c r="D395" s="41"/>
      <c r="E395" s="41"/>
      <c r="F395" s="41"/>
      <c r="G395" s="41"/>
      <c r="H395" s="41"/>
      <c r="I395" s="41"/>
      <c r="J395" s="41"/>
      <c r="K395" s="41"/>
      <c r="L395" s="41"/>
      <c r="M395" s="41"/>
      <c r="N395" s="41"/>
      <c r="O395" s="41"/>
      <c r="P395" s="41"/>
      <c r="Q395" s="41"/>
      <c r="R395" s="41"/>
      <c r="S395" s="41"/>
      <c r="T395" s="41"/>
      <c r="U395" s="41"/>
      <c r="V395" s="41"/>
      <c r="W395" s="41"/>
      <c r="X395" s="41"/>
      <c r="Y395" s="41"/>
      <c r="Z395" s="41"/>
      <c r="AA395" s="41"/>
    </row>
    <row r="396" spans="1:27" x14ac:dyDescent="0.3">
      <c r="A396" s="41"/>
      <c r="B396" s="41"/>
      <c r="C396" s="41"/>
      <c r="D396" s="41"/>
      <c r="E396" s="41"/>
      <c r="F396" s="41"/>
      <c r="G396" s="41"/>
      <c r="H396" s="41"/>
      <c r="I396" s="41"/>
      <c r="J396" s="41"/>
      <c r="K396" s="41"/>
      <c r="L396" s="41"/>
      <c r="M396" s="41"/>
      <c r="N396" s="41"/>
      <c r="O396" s="41"/>
      <c r="P396" s="41"/>
      <c r="Q396" s="41"/>
      <c r="R396" s="41"/>
      <c r="S396" s="41"/>
      <c r="T396" s="41"/>
      <c r="U396" s="41"/>
      <c r="V396" s="41"/>
      <c r="W396" s="41"/>
      <c r="X396" s="41"/>
      <c r="Y396" s="41"/>
      <c r="Z396" s="41"/>
      <c r="AA396" s="41"/>
    </row>
    <row r="397" spans="1:27" x14ac:dyDescent="0.3">
      <c r="A397" s="41"/>
      <c r="B397" s="41"/>
      <c r="C397" s="41"/>
      <c r="D397" s="41"/>
      <c r="E397" s="41"/>
      <c r="F397" s="41"/>
      <c r="G397" s="41"/>
      <c r="H397" s="41"/>
      <c r="I397" s="41"/>
      <c r="J397" s="41"/>
      <c r="K397" s="41"/>
      <c r="L397" s="41"/>
      <c r="M397" s="41"/>
      <c r="N397" s="41"/>
      <c r="O397" s="41"/>
      <c r="P397" s="41"/>
      <c r="Q397" s="41"/>
      <c r="R397" s="41"/>
      <c r="S397" s="41"/>
      <c r="T397" s="41"/>
      <c r="U397" s="41"/>
      <c r="V397" s="41"/>
      <c r="W397" s="41"/>
      <c r="X397" s="41"/>
      <c r="Y397" s="41"/>
      <c r="Z397" s="41"/>
      <c r="AA397" s="41"/>
    </row>
    <row r="398" spans="1:27" x14ac:dyDescent="0.3">
      <c r="A398" s="41"/>
      <c r="B398" s="41"/>
      <c r="C398" s="41"/>
      <c r="D398" s="41"/>
      <c r="E398" s="41"/>
      <c r="F398" s="41"/>
      <c r="G398" s="41"/>
      <c r="H398" s="41"/>
      <c r="I398" s="41"/>
      <c r="J398" s="41"/>
      <c r="K398" s="41"/>
      <c r="L398" s="41"/>
      <c r="M398" s="41"/>
      <c r="N398" s="41"/>
      <c r="O398" s="41"/>
      <c r="P398" s="41"/>
      <c r="Q398" s="41"/>
      <c r="R398" s="41"/>
      <c r="S398" s="41"/>
      <c r="T398" s="41"/>
      <c r="U398" s="41"/>
      <c r="V398" s="41"/>
      <c r="W398" s="41"/>
      <c r="X398" s="41"/>
      <c r="Y398" s="41"/>
      <c r="Z398" s="41"/>
      <c r="AA398" s="41"/>
    </row>
    <row r="399" spans="1:27" x14ac:dyDescent="0.3">
      <c r="A399" s="41"/>
      <c r="B399" s="41"/>
      <c r="C399" s="41"/>
      <c r="D399" s="41"/>
      <c r="E399" s="41"/>
      <c r="F399" s="41"/>
      <c r="G399" s="41"/>
      <c r="H399" s="41"/>
      <c r="I399" s="41"/>
      <c r="J399" s="41"/>
      <c r="K399" s="41"/>
      <c r="L399" s="41"/>
      <c r="M399" s="41"/>
      <c r="N399" s="41"/>
      <c r="O399" s="41"/>
      <c r="P399" s="41"/>
      <c r="Q399" s="41"/>
      <c r="R399" s="41"/>
      <c r="S399" s="41"/>
      <c r="T399" s="41"/>
      <c r="U399" s="41"/>
      <c r="V399" s="41"/>
      <c r="W399" s="41"/>
      <c r="X399" s="41"/>
      <c r="Y399" s="41"/>
      <c r="Z399" s="41"/>
      <c r="AA399" s="41"/>
    </row>
    <row r="400" spans="1:27" x14ac:dyDescent="0.3">
      <c r="A400" s="41"/>
      <c r="B400" s="41"/>
      <c r="C400" s="41"/>
      <c r="D400" s="41"/>
      <c r="E400" s="41"/>
      <c r="F400" s="41"/>
      <c r="G400" s="41"/>
      <c r="H400" s="41"/>
      <c r="I400" s="41"/>
      <c r="J400" s="41"/>
      <c r="K400" s="41"/>
      <c r="L400" s="41"/>
      <c r="M400" s="41"/>
      <c r="N400" s="41"/>
      <c r="O400" s="41"/>
      <c r="P400" s="41"/>
      <c r="Q400" s="41"/>
      <c r="R400" s="41"/>
      <c r="S400" s="41"/>
      <c r="T400" s="41"/>
      <c r="U400" s="41"/>
      <c r="V400" s="41"/>
      <c r="W400" s="41"/>
      <c r="X400" s="41"/>
      <c r="Y400" s="41"/>
      <c r="Z400" s="41"/>
      <c r="AA400" s="41"/>
    </row>
  </sheetData>
  <mergeCells count="6">
    <mergeCell ref="A4:A12"/>
    <mergeCell ref="X2:Z2"/>
    <mergeCell ref="U2:W2"/>
    <mergeCell ref="K2:M2"/>
    <mergeCell ref="N2:P2"/>
    <mergeCell ref="Q2:S2"/>
  </mergeCells>
  <conditionalFormatting sqref="C1:C1048576">
    <cfRule type="duplicateValues" dxfId="154" priority="72063"/>
    <cfRule type="duplicateValues" dxfId="153" priority="72064"/>
    <cfRule type="duplicateValues" dxfId="152" priority="72069"/>
  </conditionalFormatting>
  <conditionalFormatting sqref="C4:C1048576">
    <cfRule type="duplicateValues" dxfId="151" priority="72072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Y38"/>
  <sheetViews>
    <sheetView showGridLines="0" zoomScaleNormal="100" workbookViewId="0">
      <pane ySplit="1" topLeftCell="A2" activePane="bottomLeft" state="frozenSplit"/>
      <selection pane="bottomLeft" activeCell="C9" sqref="C9"/>
    </sheetView>
  </sheetViews>
  <sheetFormatPr defaultRowHeight="14.4" x14ac:dyDescent="0.3"/>
  <cols>
    <col min="1" max="1" width="18.88671875" customWidth="1"/>
    <col min="2" max="2" width="19.5546875" customWidth="1"/>
    <col min="3" max="3" width="22.88671875" customWidth="1"/>
    <col min="4" max="4" width="11" customWidth="1"/>
    <col min="5" max="5" width="14.109375" customWidth="1"/>
    <col min="6" max="6" width="41.33203125" customWidth="1"/>
    <col min="7" max="7" width="32.109375" customWidth="1"/>
    <col min="8" max="9" width="12.44140625" customWidth="1"/>
    <col min="10" max="10" width="21.88671875" customWidth="1"/>
    <col min="11" max="11" width="9.88671875" customWidth="1"/>
    <col min="12" max="12" width="34.44140625" customWidth="1"/>
    <col min="13" max="13" width="12.88671875" customWidth="1"/>
    <col min="14" max="14" width="11.88671875" customWidth="1"/>
    <col min="15" max="15" width="10.88671875" customWidth="1"/>
    <col min="16" max="16" width="8.5546875" customWidth="1"/>
    <col min="17" max="17" width="8.6640625" customWidth="1"/>
    <col min="18" max="18" width="18.109375" customWidth="1"/>
    <col min="19" max="19" width="49.88671875" customWidth="1"/>
    <col min="20" max="20" width="9.33203125" style="4" bestFit="1" customWidth="1"/>
    <col min="21" max="21" width="20.33203125" bestFit="1" customWidth="1"/>
    <col min="22" max="22" width="9.33203125" bestFit="1" customWidth="1"/>
    <col min="23" max="23" width="19.5546875" bestFit="1" customWidth="1"/>
    <col min="24" max="24" width="20.88671875" customWidth="1"/>
    <col min="25" max="25" width="81.6640625" customWidth="1"/>
  </cols>
  <sheetData>
    <row r="1" spans="1:25" ht="141" customHeight="1" thickBot="1" x14ac:dyDescent="0.35">
      <c r="A1" s="73" t="s">
        <v>56</v>
      </c>
      <c r="B1" s="128" t="s">
        <v>230</v>
      </c>
      <c r="C1" s="94" t="s">
        <v>25</v>
      </c>
      <c r="D1" s="94" t="s">
        <v>26</v>
      </c>
      <c r="E1" s="94" t="s">
        <v>231</v>
      </c>
      <c r="F1" s="95" t="s">
        <v>232</v>
      </c>
      <c r="G1" s="94" t="s">
        <v>233</v>
      </c>
      <c r="H1" s="95" t="s">
        <v>234</v>
      </c>
      <c r="I1" s="94" t="s">
        <v>235</v>
      </c>
      <c r="J1" s="95" t="s">
        <v>236</v>
      </c>
      <c r="K1" s="95" t="s">
        <v>237</v>
      </c>
      <c r="L1" s="95" t="s">
        <v>238</v>
      </c>
      <c r="M1" s="95" t="s">
        <v>239</v>
      </c>
      <c r="N1" s="95" t="s">
        <v>240</v>
      </c>
      <c r="O1" s="95" t="s">
        <v>241</v>
      </c>
      <c r="P1" s="95" t="s">
        <v>242</v>
      </c>
      <c r="Q1" s="95" t="s">
        <v>243</v>
      </c>
      <c r="R1" s="95" t="s">
        <v>244</v>
      </c>
      <c r="S1" s="95" t="s">
        <v>245</v>
      </c>
      <c r="T1" s="95" t="s">
        <v>246</v>
      </c>
      <c r="U1" s="95" t="s">
        <v>247</v>
      </c>
      <c r="V1" s="95" t="s">
        <v>248</v>
      </c>
      <c r="W1" s="95" t="s">
        <v>249</v>
      </c>
      <c r="X1" s="95" t="s">
        <v>250</v>
      </c>
      <c r="Y1" s="96" t="s">
        <v>91</v>
      </c>
    </row>
    <row r="2" spans="1:25" s="12" customFormat="1" x14ac:dyDescent="0.3">
      <c r="A2" s="489" t="s">
        <v>251</v>
      </c>
      <c r="B2" s="210">
        <v>30867165768</v>
      </c>
      <c r="C2" s="292">
        <v>702500384757339</v>
      </c>
      <c r="D2" s="210">
        <v>16420</v>
      </c>
      <c r="E2" s="210" t="s">
        <v>92</v>
      </c>
      <c r="F2" s="210" t="s">
        <v>252</v>
      </c>
      <c r="G2" s="210" t="s">
        <v>253</v>
      </c>
      <c r="H2" s="210" t="s">
        <v>254</v>
      </c>
      <c r="I2" s="210" t="s">
        <v>95</v>
      </c>
      <c r="J2" s="254">
        <v>44937</v>
      </c>
      <c r="K2" s="210"/>
      <c r="L2" s="210" t="s">
        <v>252</v>
      </c>
      <c r="M2" s="46">
        <v>1</v>
      </c>
      <c r="N2" s="293">
        <v>3900</v>
      </c>
      <c r="O2" s="46">
        <v>52</v>
      </c>
      <c r="P2" s="46">
        <v>34</v>
      </c>
      <c r="Q2" s="46">
        <v>34</v>
      </c>
      <c r="R2" s="46">
        <v>3.2</v>
      </c>
      <c r="S2" s="210" t="s">
        <v>255</v>
      </c>
      <c r="T2" s="211">
        <v>7193</v>
      </c>
      <c r="U2" s="210" t="s">
        <v>219</v>
      </c>
      <c r="V2" s="210">
        <v>2286</v>
      </c>
      <c r="W2" s="210" t="s">
        <v>256</v>
      </c>
      <c r="X2" s="210">
        <v>3</v>
      </c>
      <c r="Y2" s="210"/>
    </row>
    <row r="3" spans="1:25" x14ac:dyDescent="0.3">
      <c r="A3" s="489"/>
      <c r="B3" s="210"/>
      <c r="C3" s="210"/>
      <c r="D3" s="210">
        <v>16429</v>
      </c>
      <c r="E3" s="210" t="s">
        <v>92</v>
      </c>
      <c r="F3" s="210" t="s">
        <v>178</v>
      </c>
      <c r="G3" s="210" t="s">
        <v>257</v>
      </c>
      <c r="H3" s="210" t="s">
        <v>258</v>
      </c>
      <c r="I3" s="210" t="s">
        <v>111</v>
      </c>
      <c r="J3" s="254">
        <v>44940</v>
      </c>
      <c r="K3" s="210"/>
      <c r="L3" s="210" t="s">
        <v>224</v>
      </c>
      <c r="M3" s="46">
        <v>1</v>
      </c>
      <c r="N3" s="46"/>
      <c r="O3" s="46"/>
      <c r="P3" s="46"/>
      <c r="Q3" s="46"/>
      <c r="R3" s="46">
        <v>2</v>
      </c>
      <c r="S3" s="210" t="s">
        <v>259</v>
      </c>
      <c r="T3" s="211">
        <v>7076</v>
      </c>
      <c r="U3" s="210" t="s">
        <v>260</v>
      </c>
      <c r="V3" s="210">
        <v>6672</v>
      </c>
      <c r="W3" s="210" t="s">
        <v>261</v>
      </c>
      <c r="X3" s="210">
        <v>3</v>
      </c>
      <c r="Y3" s="210"/>
    </row>
    <row r="4" spans="1:25" x14ac:dyDescent="0.3">
      <c r="A4" s="489"/>
      <c r="B4" s="210">
        <v>30867165466</v>
      </c>
      <c r="C4" s="298">
        <v>702400340096230</v>
      </c>
      <c r="D4" s="210">
        <v>16428</v>
      </c>
      <c r="E4" s="210" t="s">
        <v>92</v>
      </c>
      <c r="F4" s="210" t="s">
        <v>185</v>
      </c>
      <c r="G4" s="210" t="s">
        <v>262</v>
      </c>
      <c r="H4" s="210" t="s">
        <v>258</v>
      </c>
      <c r="I4" s="210" t="s">
        <v>101</v>
      </c>
      <c r="J4" s="254">
        <v>44947</v>
      </c>
      <c r="K4" s="210"/>
      <c r="L4" s="210" t="s">
        <v>185</v>
      </c>
      <c r="M4" s="46">
        <v>1</v>
      </c>
      <c r="N4" s="293">
        <v>2800</v>
      </c>
      <c r="O4" s="46">
        <v>48</v>
      </c>
      <c r="P4" s="46">
        <v>33</v>
      </c>
      <c r="Q4" s="46">
        <v>34</v>
      </c>
      <c r="R4" s="46">
        <v>1</v>
      </c>
      <c r="S4" s="210" t="s">
        <v>263</v>
      </c>
      <c r="T4" s="211">
        <v>7434</v>
      </c>
      <c r="U4" s="210" t="s">
        <v>264</v>
      </c>
      <c r="V4" s="210">
        <v>6487</v>
      </c>
      <c r="W4" s="210" t="s">
        <v>265</v>
      </c>
      <c r="X4" s="210">
        <v>3</v>
      </c>
      <c r="Y4" s="210"/>
    </row>
    <row r="5" spans="1:25" x14ac:dyDescent="0.3">
      <c r="A5" s="489"/>
      <c r="B5" s="210">
        <v>30881114989</v>
      </c>
      <c r="C5" s="292"/>
      <c r="D5" s="210">
        <v>16430</v>
      </c>
      <c r="E5" s="41" t="s">
        <v>92</v>
      </c>
      <c r="F5" s="41" t="s">
        <v>93</v>
      </c>
      <c r="G5" s="41" t="s">
        <v>266</v>
      </c>
      <c r="H5" s="41" t="s">
        <v>258</v>
      </c>
      <c r="I5" s="41" t="s">
        <v>95</v>
      </c>
      <c r="J5" s="254">
        <v>44953</v>
      </c>
      <c r="K5" s="41"/>
      <c r="L5" s="41" t="s">
        <v>267</v>
      </c>
      <c r="M5" s="46">
        <v>2</v>
      </c>
      <c r="N5" s="293">
        <v>2990</v>
      </c>
      <c r="O5" s="46">
        <v>51</v>
      </c>
      <c r="P5" s="46" t="s">
        <v>268</v>
      </c>
      <c r="Q5" s="46">
        <v>35</v>
      </c>
      <c r="R5" s="46">
        <v>2</v>
      </c>
      <c r="S5" s="41" t="s">
        <v>269</v>
      </c>
      <c r="T5" s="211">
        <v>5256</v>
      </c>
      <c r="U5" s="210" t="s">
        <v>94</v>
      </c>
      <c r="V5" s="210">
        <v>5041</v>
      </c>
      <c r="W5" s="210" t="s">
        <v>270</v>
      </c>
      <c r="X5" s="41"/>
      <c r="Y5" s="41" t="s">
        <v>271</v>
      </c>
    </row>
    <row r="6" spans="1:25" x14ac:dyDescent="0.3">
      <c r="A6" s="489"/>
      <c r="B6" s="210"/>
      <c r="C6" s="292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72"/>
      <c r="U6" s="41"/>
      <c r="V6" s="41"/>
      <c r="W6" s="41"/>
      <c r="X6" s="41"/>
      <c r="Y6" s="41"/>
    </row>
    <row r="7" spans="1:25" x14ac:dyDescent="0.3">
      <c r="A7" s="489"/>
      <c r="B7" s="41"/>
      <c r="C7" s="292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72"/>
      <c r="U7" s="41"/>
      <c r="V7" s="41"/>
      <c r="W7" s="41"/>
      <c r="X7" s="41"/>
      <c r="Y7" s="41"/>
    </row>
    <row r="8" spans="1:25" x14ac:dyDescent="0.3">
      <c r="A8" s="489"/>
      <c r="B8" s="41"/>
      <c r="C8" s="292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72"/>
      <c r="U8" s="41"/>
      <c r="V8" s="41"/>
      <c r="W8" s="41"/>
      <c r="X8" s="41"/>
      <c r="Y8" s="41"/>
    </row>
    <row r="9" spans="1:25" x14ac:dyDescent="0.3">
      <c r="A9" s="489"/>
      <c r="B9" s="41"/>
      <c r="C9" s="292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72"/>
      <c r="U9" s="41"/>
      <c r="V9" s="41"/>
      <c r="W9" s="41"/>
      <c r="X9" s="41"/>
      <c r="Y9" s="41"/>
    </row>
    <row r="10" spans="1:25" x14ac:dyDescent="0.3">
      <c r="A10" s="490"/>
      <c r="B10" s="41"/>
      <c r="C10" s="292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72"/>
      <c r="U10" s="41"/>
      <c r="V10" s="41"/>
      <c r="W10" s="41"/>
      <c r="X10" s="41"/>
      <c r="Y10" s="41"/>
    </row>
    <row r="11" spans="1:25" x14ac:dyDescent="0.3">
      <c r="A11" s="41"/>
      <c r="B11" s="41"/>
      <c r="C11" s="292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72"/>
      <c r="U11" s="41"/>
      <c r="V11" s="41"/>
      <c r="W11" s="41"/>
      <c r="X11" s="41"/>
      <c r="Y11" s="41"/>
    </row>
    <row r="12" spans="1:25" x14ac:dyDescent="0.3">
      <c r="A12" s="41"/>
      <c r="B12" s="41"/>
      <c r="C12" s="292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72"/>
      <c r="U12" s="41"/>
      <c r="V12" s="41"/>
      <c r="W12" s="41"/>
      <c r="X12" s="41"/>
      <c r="Y12" s="41"/>
    </row>
    <row r="13" spans="1:25" x14ac:dyDescent="0.3">
      <c r="A13" s="41"/>
      <c r="B13" s="41"/>
      <c r="C13" s="292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72"/>
      <c r="U13" s="41"/>
      <c r="V13" s="41"/>
      <c r="W13" s="41"/>
      <c r="X13" s="41"/>
      <c r="Y13" s="41"/>
    </row>
    <row r="14" spans="1:25" x14ac:dyDescent="0.3">
      <c r="A14" s="41"/>
      <c r="B14" s="41"/>
      <c r="C14" s="292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72"/>
      <c r="U14" s="41"/>
      <c r="V14" s="41"/>
      <c r="W14" s="41"/>
      <c r="X14" s="41"/>
      <c r="Y14" s="41"/>
    </row>
    <row r="15" spans="1:25" x14ac:dyDescent="0.3">
      <c r="A15" s="41"/>
      <c r="B15" s="41"/>
      <c r="C15" s="292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72"/>
      <c r="U15" s="41"/>
      <c r="V15" s="41"/>
      <c r="W15" s="41"/>
      <c r="X15" s="41"/>
      <c r="Y15" s="41"/>
    </row>
    <row r="16" spans="1:25" x14ac:dyDescent="0.3">
      <c r="A16" s="41"/>
      <c r="B16" s="41"/>
      <c r="C16" s="292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72"/>
      <c r="U16" s="41"/>
      <c r="V16" s="41"/>
      <c r="W16" s="41"/>
      <c r="X16" s="41"/>
      <c r="Y16" s="41"/>
    </row>
    <row r="17" spans="1:25" x14ac:dyDescent="0.3">
      <c r="A17" s="41"/>
      <c r="B17" s="41"/>
      <c r="C17" s="292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/>
      <c r="T17" s="72"/>
      <c r="U17" s="41"/>
      <c r="V17" s="41"/>
      <c r="W17" s="41"/>
      <c r="X17" s="41"/>
      <c r="Y17" s="41"/>
    </row>
    <row r="18" spans="1:25" x14ac:dyDescent="0.3">
      <c r="A18" s="41"/>
      <c r="B18" s="41"/>
      <c r="C18" s="292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72"/>
      <c r="U18" s="41"/>
      <c r="V18" s="41"/>
      <c r="W18" s="41"/>
      <c r="X18" s="41"/>
      <c r="Y18" s="41"/>
    </row>
    <row r="19" spans="1:25" x14ac:dyDescent="0.3">
      <c r="A19" s="41"/>
      <c r="B19" s="41"/>
      <c r="C19" s="292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72"/>
      <c r="U19" s="41"/>
      <c r="V19" s="41"/>
      <c r="W19" s="41"/>
      <c r="X19" s="41"/>
      <c r="Y19" s="41"/>
    </row>
    <row r="20" spans="1:25" x14ac:dyDescent="0.3">
      <c r="A20" s="41"/>
      <c r="B20" s="41"/>
      <c r="C20" s="292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72"/>
      <c r="U20" s="41"/>
      <c r="V20" s="41"/>
      <c r="W20" s="41"/>
      <c r="X20" s="41"/>
      <c r="Y20" s="41"/>
    </row>
    <row r="21" spans="1:25" x14ac:dyDescent="0.3">
      <c r="A21" s="41"/>
      <c r="B21" s="41"/>
      <c r="C21" s="292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72"/>
      <c r="U21" s="41"/>
      <c r="V21" s="41"/>
      <c r="W21" s="41"/>
      <c r="X21" s="41"/>
      <c r="Y21" s="41"/>
    </row>
    <row r="22" spans="1:25" x14ac:dyDescent="0.3">
      <c r="A22" s="41"/>
      <c r="B22" s="41"/>
      <c r="C22" s="292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72"/>
      <c r="U22" s="41"/>
      <c r="V22" s="41"/>
      <c r="W22" s="41"/>
      <c r="X22" s="41"/>
      <c r="Y22" s="41"/>
    </row>
    <row r="23" spans="1:25" x14ac:dyDescent="0.3">
      <c r="A23" s="41"/>
      <c r="B23" s="41"/>
      <c r="C23" s="292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72"/>
      <c r="U23" s="41"/>
      <c r="V23" s="41"/>
      <c r="W23" s="41"/>
      <c r="X23" s="41"/>
      <c r="Y23" s="41"/>
    </row>
    <row r="24" spans="1:25" x14ac:dyDescent="0.3">
      <c r="A24" s="41"/>
      <c r="B24" s="41"/>
      <c r="C24" s="292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72"/>
      <c r="U24" s="41"/>
      <c r="V24" s="41"/>
      <c r="W24" s="41"/>
      <c r="X24" s="41"/>
      <c r="Y24" s="41"/>
    </row>
    <row r="25" spans="1:25" x14ac:dyDescent="0.3">
      <c r="A25" s="41"/>
      <c r="B25" s="41"/>
      <c r="C25" s="292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72"/>
      <c r="U25" s="41"/>
      <c r="V25" s="41"/>
      <c r="W25" s="41"/>
      <c r="X25" s="41"/>
      <c r="Y25" s="41"/>
    </row>
    <row r="26" spans="1:25" x14ac:dyDescent="0.3">
      <c r="A26" s="41"/>
      <c r="B26" s="41"/>
      <c r="C26" s="292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72"/>
      <c r="U26" s="41"/>
      <c r="V26" s="41"/>
      <c r="W26" s="41"/>
      <c r="X26" s="41"/>
      <c r="Y26" s="41"/>
    </row>
    <row r="27" spans="1:25" x14ac:dyDescent="0.3">
      <c r="A27" s="41"/>
      <c r="B27" s="41"/>
      <c r="C27" s="292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72"/>
      <c r="U27" s="41"/>
      <c r="V27" s="41"/>
      <c r="W27" s="41"/>
      <c r="X27" s="41"/>
      <c r="Y27" s="41"/>
    </row>
    <row r="28" spans="1:25" x14ac:dyDescent="0.3">
      <c r="A28" s="41"/>
      <c r="B28" s="41"/>
      <c r="C28" s="292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72"/>
      <c r="U28" s="41"/>
      <c r="V28" s="41"/>
      <c r="W28" s="41"/>
      <c r="X28" s="41"/>
      <c r="Y28" s="41"/>
    </row>
    <row r="29" spans="1:25" x14ac:dyDescent="0.3">
      <c r="A29" s="41"/>
      <c r="B29" s="41"/>
      <c r="C29" s="292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72"/>
      <c r="U29" s="41"/>
      <c r="V29" s="41"/>
      <c r="W29" s="41"/>
      <c r="X29" s="41"/>
      <c r="Y29" s="41"/>
    </row>
    <row r="30" spans="1:25" x14ac:dyDescent="0.3">
      <c r="A30" s="41"/>
      <c r="B30" s="41"/>
      <c r="C30" s="292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72"/>
      <c r="U30" s="41"/>
      <c r="V30" s="41"/>
      <c r="W30" s="41"/>
      <c r="X30" s="41"/>
      <c r="Y30" s="41"/>
    </row>
    <row r="31" spans="1:25" x14ac:dyDescent="0.3">
      <c r="A31" s="41"/>
      <c r="B31" s="41"/>
      <c r="C31" s="292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72"/>
      <c r="U31" s="41"/>
      <c r="V31" s="41"/>
      <c r="W31" s="41"/>
      <c r="X31" s="41"/>
      <c r="Y31" s="41"/>
    </row>
    <row r="32" spans="1:25" x14ac:dyDescent="0.3">
      <c r="A32" s="41"/>
      <c r="B32" s="41"/>
      <c r="C32" s="292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72"/>
      <c r="U32" s="41"/>
      <c r="V32" s="41"/>
      <c r="W32" s="41"/>
      <c r="X32" s="41"/>
      <c r="Y32" s="41"/>
    </row>
    <row r="33" spans="1:25" x14ac:dyDescent="0.3">
      <c r="A33" s="41"/>
      <c r="B33" s="41"/>
      <c r="C33" s="292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41"/>
      <c r="R33" s="41"/>
      <c r="S33" s="41"/>
      <c r="T33" s="72"/>
      <c r="U33" s="41"/>
      <c r="V33" s="41"/>
      <c r="W33" s="41"/>
      <c r="X33" s="41"/>
      <c r="Y33" s="41"/>
    </row>
    <row r="34" spans="1:25" x14ac:dyDescent="0.3">
      <c r="A34" s="41"/>
      <c r="B34" s="41"/>
      <c r="C34" s="292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72"/>
      <c r="U34" s="41"/>
      <c r="V34" s="41"/>
      <c r="W34" s="41"/>
      <c r="X34" s="41"/>
      <c r="Y34" s="41"/>
    </row>
    <row r="35" spans="1:25" x14ac:dyDescent="0.3">
      <c r="A35" s="41"/>
      <c r="B35" s="41"/>
      <c r="C35" s="292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72"/>
      <c r="U35" s="41"/>
      <c r="V35" s="41"/>
      <c r="W35" s="41"/>
      <c r="X35" s="41"/>
      <c r="Y35" s="41"/>
    </row>
    <row r="36" spans="1:25" x14ac:dyDescent="0.3">
      <c r="A36" s="41"/>
      <c r="B36" s="41"/>
      <c r="C36" s="292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72"/>
      <c r="U36" s="41"/>
      <c r="V36" s="41"/>
      <c r="W36" s="41"/>
      <c r="X36" s="41"/>
      <c r="Y36" s="41"/>
    </row>
    <row r="37" spans="1:25" x14ac:dyDescent="0.3">
      <c r="A37" s="41"/>
      <c r="B37" s="41"/>
      <c r="C37" s="292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72"/>
      <c r="U37" s="41"/>
      <c r="V37" s="41"/>
      <c r="W37" s="41"/>
      <c r="X37" s="41"/>
      <c r="Y37" s="41"/>
    </row>
    <row r="38" spans="1:25" x14ac:dyDescent="0.3">
      <c r="A38" s="41"/>
      <c r="B38" s="41"/>
      <c r="C38" s="292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72"/>
      <c r="U38" s="41"/>
      <c r="V38" s="41"/>
      <c r="W38" s="41"/>
      <c r="X38" s="41"/>
      <c r="Y38" s="41"/>
    </row>
  </sheetData>
  <mergeCells count="1">
    <mergeCell ref="A2:A10"/>
  </mergeCells>
  <conditionalFormatting sqref="B1:B1048576">
    <cfRule type="duplicateValues" dxfId="150" priority="70866"/>
  </conditionalFormatting>
  <conditionalFormatting sqref="C1:C1048576">
    <cfRule type="duplicateValues" dxfId="149" priority="51833"/>
  </conditionalFormatting>
  <conditionalFormatting sqref="T1:T1048576">
    <cfRule type="duplicateValues" dxfId="148" priority="72057"/>
  </conditionalFormatting>
  <conditionalFormatting sqref="T2:T1048576">
    <cfRule type="duplicateValues" dxfId="147" priority="72060"/>
  </conditionalFormatting>
  <conditionalFormatting sqref="T1:U1048576">
    <cfRule type="duplicateValues" dxfId="146" priority="72062"/>
  </conditionalFormatting>
  <pageMargins left="0.7" right="0.7" top="0.75" bottom="0.75" header="0.3" footer="0.3"/>
  <pageSetup paperSize="9" orientation="portrait" verticalDpi="36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41230-C1B2-499E-8C51-26B813464464}">
  <sheetPr filterMode="1"/>
  <dimension ref="A1:S143"/>
  <sheetViews>
    <sheetView showGridLines="0" tabSelected="1" topLeftCell="I1" workbookViewId="0">
      <selection activeCell="A59" sqref="A59:S71"/>
    </sheetView>
  </sheetViews>
  <sheetFormatPr defaultRowHeight="14.4" x14ac:dyDescent="0.3"/>
  <cols>
    <col min="1" max="1" width="16.6640625" style="12" customWidth="1"/>
    <col min="2" max="2" width="10.6640625" style="12" bestFit="1" customWidth="1"/>
    <col min="3" max="3" width="25.88671875" style="66" customWidth="1"/>
    <col min="4" max="4" width="8.88671875" style="12"/>
    <col min="5" max="5" width="11.33203125" style="12" bestFit="1" customWidth="1"/>
    <col min="6" max="7" width="9.33203125" style="12" bestFit="1" customWidth="1"/>
    <col min="8" max="8" width="14.6640625" style="12" customWidth="1"/>
    <col min="9" max="13" width="9.33203125" style="12" bestFit="1" customWidth="1"/>
    <col min="14" max="14" width="21.33203125" style="12" customWidth="1"/>
    <col min="15" max="15" width="26.44140625" style="12" customWidth="1"/>
    <col min="16" max="17" width="21.33203125" style="12" customWidth="1"/>
    <col min="18" max="18" width="26" style="12" bestFit="1" customWidth="1"/>
    <col min="19" max="19" width="39.109375" style="12" customWidth="1"/>
  </cols>
  <sheetData>
    <row r="1" spans="1:19" ht="19.5" customHeight="1" x14ac:dyDescent="0.3"/>
    <row r="2" spans="1:19" ht="19.5" customHeight="1" x14ac:dyDescent="0.6">
      <c r="B2" s="491" t="s">
        <v>272</v>
      </c>
      <c r="C2" s="491"/>
      <c r="D2" s="491"/>
      <c r="E2" s="491"/>
      <c r="F2" s="491"/>
      <c r="G2" s="491"/>
      <c r="H2" s="491"/>
      <c r="I2" s="491"/>
      <c r="J2" s="491"/>
      <c r="K2" s="491"/>
      <c r="L2" s="491"/>
      <c r="M2" s="491"/>
      <c r="N2" s="491"/>
      <c r="O2" s="491"/>
      <c r="P2" s="491"/>
      <c r="Q2" s="491"/>
      <c r="R2" s="156"/>
    </row>
    <row r="3" spans="1:19" ht="19.5" customHeight="1" thickBot="1" x14ac:dyDescent="0.35"/>
    <row r="4" spans="1:19" ht="20.399999999999999" x14ac:dyDescent="0.3">
      <c r="A4" s="203" t="s">
        <v>29</v>
      </c>
      <c r="B4" s="204" t="s">
        <v>26</v>
      </c>
      <c r="C4" s="246" t="s">
        <v>273</v>
      </c>
      <c r="D4" s="204" t="s">
        <v>274</v>
      </c>
      <c r="E4" s="204" t="s">
        <v>275</v>
      </c>
      <c r="F4" s="204" t="s">
        <v>276</v>
      </c>
      <c r="G4" s="204" t="s">
        <v>56</v>
      </c>
      <c r="H4" s="205" t="s">
        <v>277</v>
      </c>
      <c r="I4" s="204" t="s">
        <v>278</v>
      </c>
      <c r="J4" s="204" t="s">
        <v>279</v>
      </c>
      <c r="K4" s="204" t="s">
        <v>280</v>
      </c>
      <c r="L4" s="204" t="s">
        <v>281</v>
      </c>
      <c r="M4" s="204" t="s">
        <v>282</v>
      </c>
      <c r="N4" s="205" t="s">
        <v>283</v>
      </c>
      <c r="O4" s="205" t="s">
        <v>284</v>
      </c>
      <c r="P4" s="205" t="s">
        <v>285</v>
      </c>
      <c r="Q4" s="204" t="s">
        <v>286</v>
      </c>
      <c r="R4" s="206" t="s">
        <v>287</v>
      </c>
      <c r="S4" s="207" t="s">
        <v>288</v>
      </c>
    </row>
    <row r="5" spans="1:19" hidden="1" x14ac:dyDescent="0.3">
      <c r="A5" s="234" t="s">
        <v>145</v>
      </c>
      <c r="B5" s="234">
        <v>16225</v>
      </c>
      <c r="C5" s="208" t="s">
        <v>289</v>
      </c>
      <c r="D5" s="234" t="s">
        <v>258</v>
      </c>
      <c r="E5" s="235">
        <v>44243</v>
      </c>
      <c r="F5" s="212"/>
      <c r="G5" s="213"/>
      <c r="H5" s="235">
        <v>44942</v>
      </c>
      <c r="I5" s="234">
        <v>10</v>
      </c>
      <c r="J5" s="234">
        <v>77</v>
      </c>
      <c r="K5" s="234">
        <v>47</v>
      </c>
      <c r="L5" s="234">
        <v>48</v>
      </c>
      <c r="M5" s="234">
        <v>45</v>
      </c>
      <c r="N5" s="234" t="s">
        <v>290</v>
      </c>
      <c r="O5" s="234" t="s">
        <v>291</v>
      </c>
      <c r="P5" s="234" t="s">
        <v>116</v>
      </c>
      <c r="Q5" s="234" t="s">
        <v>292</v>
      </c>
      <c r="R5" s="244">
        <v>44958</v>
      </c>
      <c r="S5" s="234" t="s">
        <v>293</v>
      </c>
    </row>
    <row r="6" spans="1:19" hidden="1" x14ac:dyDescent="0.3">
      <c r="A6" s="234" t="s">
        <v>145</v>
      </c>
      <c r="B6" s="234">
        <v>16239</v>
      </c>
      <c r="C6" s="208" t="s">
        <v>294</v>
      </c>
      <c r="D6" s="234" t="s">
        <v>254</v>
      </c>
      <c r="E6" s="235">
        <v>44397</v>
      </c>
      <c r="F6" s="212"/>
      <c r="G6" s="213"/>
      <c r="H6" s="235">
        <v>44942</v>
      </c>
      <c r="I6" s="234">
        <v>10.3</v>
      </c>
      <c r="J6" s="234">
        <v>75.5</v>
      </c>
      <c r="K6" s="234">
        <v>44</v>
      </c>
      <c r="L6" s="234">
        <v>48</v>
      </c>
      <c r="M6" s="234">
        <v>47</v>
      </c>
      <c r="N6" s="234" t="s">
        <v>290</v>
      </c>
      <c r="O6" s="234" t="s">
        <v>291</v>
      </c>
      <c r="P6" s="234" t="s">
        <v>116</v>
      </c>
      <c r="Q6" s="234" t="s">
        <v>292</v>
      </c>
      <c r="R6" s="244">
        <v>45108</v>
      </c>
      <c r="S6" s="234" t="s">
        <v>293</v>
      </c>
    </row>
    <row r="7" spans="1:19" hidden="1" x14ac:dyDescent="0.3">
      <c r="A7" s="234" t="s">
        <v>145</v>
      </c>
      <c r="B7" s="234">
        <v>16215</v>
      </c>
      <c r="C7" s="208" t="s">
        <v>295</v>
      </c>
      <c r="D7" s="234" t="s">
        <v>258</v>
      </c>
      <c r="E7" s="235">
        <v>44326</v>
      </c>
      <c r="F7" s="212"/>
      <c r="G7" s="213"/>
      <c r="H7" s="235">
        <v>44942</v>
      </c>
      <c r="I7" s="234">
        <v>10.6</v>
      </c>
      <c r="J7" s="234">
        <v>76</v>
      </c>
      <c r="K7" s="234">
        <v>49</v>
      </c>
      <c r="L7" s="234">
        <v>48</v>
      </c>
      <c r="M7" s="234">
        <v>46</v>
      </c>
      <c r="N7" s="234" t="s">
        <v>290</v>
      </c>
      <c r="O7" s="234" t="s">
        <v>291</v>
      </c>
      <c r="P7" s="234" t="s">
        <v>116</v>
      </c>
      <c r="Q7" s="234" t="s">
        <v>292</v>
      </c>
      <c r="R7" s="244">
        <v>45047</v>
      </c>
      <c r="S7" s="234" t="s">
        <v>293</v>
      </c>
    </row>
    <row r="8" spans="1:19" hidden="1" x14ac:dyDescent="0.3">
      <c r="A8" s="234" t="s">
        <v>145</v>
      </c>
      <c r="B8" s="234">
        <v>16283</v>
      </c>
      <c r="C8" s="208" t="s">
        <v>296</v>
      </c>
      <c r="D8" s="234" t="s">
        <v>258</v>
      </c>
      <c r="E8" s="235">
        <v>44547</v>
      </c>
      <c r="F8" s="212"/>
      <c r="G8" s="213"/>
      <c r="H8" s="235">
        <v>44942</v>
      </c>
      <c r="I8" s="234">
        <v>8.6</v>
      </c>
      <c r="J8" s="234">
        <v>73.5</v>
      </c>
      <c r="K8" s="234">
        <v>47</v>
      </c>
      <c r="L8" s="234">
        <v>44.5</v>
      </c>
      <c r="M8" s="234">
        <v>43</v>
      </c>
      <c r="N8" s="234" t="s">
        <v>290</v>
      </c>
      <c r="O8" s="234" t="s">
        <v>291</v>
      </c>
      <c r="P8" s="234" t="s">
        <v>116</v>
      </c>
      <c r="Q8" s="234" t="s">
        <v>292</v>
      </c>
      <c r="R8" s="244">
        <v>45078</v>
      </c>
      <c r="S8" s="234" t="s">
        <v>293</v>
      </c>
    </row>
    <row r="9" spans="1:19" hidden="1" x14ac:dyDescent="0.3">
      <c r="A9" s="234" t="s">
        <v>95</v>
      </c>
      <c r="B9" s="234">
        <v>16065</v>
      </c>
      <c r="C9" s="208" t="s">
        <v>297</v>
      </c>
      <c r="D9" s="234" t="s">
        <v>254</v>
      </c>
      <c r="E9" s="235">
        <v>43852</v>
      </c>
      <c r="F9" s="212">
        <f ca="1">DATEDIF(E9,TODAY(),"Y")</f>
        <v>5</v>
      </c>
      <c r="G9" s="213">
        <v>0</v>
      </c>
      <c r="H9" s="235">
        <v>44948</v>
      </c>
      <c r="I9" s="234"/>
      <c r="J9" s="234"/>
      <c r="K9" s="234"/>
      <c r="L9" s="234"/>
      <c r="M9" s="234"/>
      <c r="N9" s="234"/>
      <c r="O9" s="234" t="s">
        <v>291</v>
      </c>
      <c r="P9" s="234" t="s">
        <v>298</v>
      </c>
      <c r="Q9" s="234"/>
      <c r="R9" s="244"/>
      <c r="S9" s="234" t="s">
        <v>299</v>
      </c>
    </row>
    <row r="10" spans="1:19" hidden="1" x14ac:dyDescent="0.3">
      <c r="A10" s="46" t="s">
        <v>95</v>
      </c>
      <c r="B10" s="46">
        <v>16176</v>
      </c>
      <c r="C10" s="210" t="s">
        <v>300</v>
      </c>
      <c r="D10" s="46" t="s">
        <v>254</v>
      </c>
      <c r="E10" s="215">
        <v>44141</v>
      </c>
      <c r="F10" s="212">
        <f t="shared" ref="F10:F73" ca="1" si="0">DATEDIF(E10,TODAY(),"Y")</f>
        <v>4</v>
      </c>
      <c r="G10" s="114">
        <v>2</v>
      </c>
      <c r="H10" s="215">
        <v>44948</v>
      </c>
      <c r="I10" s="293">
        <v>12800</v>
      </c>
      <c r="J10" s="46" t="s">
        <v>301</v>
      </c>
      <c r="K10" s="46">
        <v>49</v>
      </c>
      <c r="L10" s="46">
        <v>50</v>
      </c>
      <c r="M10" s="46">
        <v>53</v>
      </c>
      <c r="N10" s="46" t="s">
        <v>290</v>
      </c>
      <c r="O10" s="46" t="s">
        <v>291</v>
      </c>
      <c r="P10" s="46" t="s">
        <v>116</v>
      </c>
      <c r="Q10" s="46" t="s">
        <v>292</v>
      </c>
      <c r="R10" s="243">
        <v>45292</v>
      </c>
      <c r="S10" s="234" t="s">
        <v>299</v>
      </c>
    </row>
    <row r="11" spans="1:19" hidden="1" x14ac:dyDescent="0.3">
      <c r="A11" s="46" t="s">
        <v>95</v>
      </c>
      <c r="B11" s="46">
        <v>16249</v>
      </c>
      <c r="C11" s="210" t="s">
        <v>302</v>
      </c>
      <c r="D11" s="46" t="s">
        <v>254</v>
      </c>
      <c r="E11" s="215">
        <v>44390</v>
      </c>
      <c r="F11" s="212">
        <f t="shared" ca="1" si="0"/>
        <v>3</v>
      </c>
      <c r="G11" s="114">
        <v>6</v>
      </c>
      <c r="H11" s="215">
        <v>44948</v>
      </c>
      <c r="I11" s="293">
        <v>10800</v>
      </c>
      <c r="J11" s="46">
        <v>81</v>
      </c>
      <c r="K11" s="46">
        <v>47</v>
      </c>
      <c r="L11" s="46" t="s">
        <v>303</v>
      </c>
      <c r="M11" s="46">
        <v>50</v>
      </c>
      <c r="N11" s="46" t="s">
        <v>290</v>
      </c>
      <c r="O11" s="46" t="s">
        <v>291</v>
      </c>
      <c r="P11" s="46" t="s">
        <v>116</v>
      </c>
      <c r="Q11" s="46" t="s">
        <v>292</v>
      </c>
      <c r="R11" s="243">
        <v>45108</v>
      </c>
      <c r="S11" s="234" t="s">
        <v>299</v>
      </c>
    </row>
    <row r="12" spans="1:19" hidden="1" x14ac:dyDescent="0.3">
      <c r="A12" s="46" t="s">
        <v>95</v>
      </c>
      <c r="B12" s="46">
        <v>16305</v>
      </c>
      <c r="C12" s="210" t="s">
        <v>304</v>
      </c>
      <c r="D12" s="46" t="s">
        <v>254</v>
      </c>
      <c r="E12" s="215">
        <v>44583</v>
      </c>
      <c r="F12" s="212">
        <f t="shared" ca="1" si="0"/>
        <v>3</v>
      </c>
      <c r="G12" s="114">
        <v>0</v>
      </c>
      <c r="H12" s="215">
        <v>44948</v>
      </c>
      <c r="I12" s="46"/>
      <c r="J12" s="46"/>
      <c r="K12" s="46"/>
      <c r="L12" s="46"/>
      <c r="M12" s="46"/>
      <c r="N12" s="46"/>
      <c r="O12" s="46" t="s">
        <v>291</v>
      </c>
      <c r="P12" s="46" t="s">
        <v>305</v>
      </c>
      <c r="Q12" s="46" t="s">
        <v>292</v>
      </c>
      <c r="R12" s="243">
        <v>44958</v>
      </c>
      <c r="S12" s="46" t="s">
        <v>306</v>
      </c>
    </row>
    <row r="13" spans="1:19" hidden="1" x14ac:dyDescent="0.3">
      <c r="A13" s="46" t="s">
        <v>95</v>
      </c>
      <c r="B13" s="46">
        <v>16313</v>
      </c>
      <c r="C13" s="210" t="s">
        <v>307</v>
      </c>
      <c r="D13" s="46" t="s">
        <v>254</v>
      </c>
      <c r="E13" s="215">
        <v>44597</v>
      </c>
      <c r="F13" s="212">
        <f t="shared" ca="1" si="0"/>
        <v>3</v>
      </c>
      <c r="G13" s="114">
        <v>11</v>
      </c>
      <c r="H13" s="215">
        <v>44948</v>
      </c>
      <c r="I13" s="46">
        <v>8.9</v>
      </c>
      <c r="J13" s="46">
        <v>71</v>
      </c>
      <c r="K13" s="46">
        <v>43</v>
      </c>
      <c r="L13" s="46">
        <v>47</v>
      </c>
      <c r="M13" s="46">
        <v>49</v>
      </c>
      <c r="N13" s="46" t="s">
        <v>290</v>
      </c>
      <c r="O13" s="46" t="s">
        <v>291</v>
      </c>
      <c r="P13" s="46" t="s">
        <v>116</v>
      </c>
      <c r="Q13" s="46" t="s">
        <v>292</v>
      </c>
      <c r="R13" s="243">
        <v>44958</v>
      </c>
      <c r="S13" s="46" t="s">
        <v>306</v>
      </c>
    </row>
    <row r="14" spans="1:19" hidden="1" x14ac:dyDescent="0.3">
      <c r="A14" s="46" t="s">
        <v>95</v>
      </c>
      <c r="B14" s="46">
        <v>16350</v>
      </c>
      <c r="C14" s="210" t="s">
        <v>308</v>
      </c>
      <c r="D14" s="46" t="s">
        <v>258</v>
      </c>
      <c r="E14" s="215">
        <v>44710</v>
      </c>
      <c r="F14" s="212">
        <f t="shared" ca="1" si="0"/>
        <v>2</v>
      </c>
      <c r="G14" s="114">
        <v>7</v>
      </c>
      <c r="H14" s="215">
        <v>44948</v>
      </c>
      <c r="I14" s="46">
        <v>8.6</v>
      </c>
      <c r="J14" s="46">
        <v>67</v>
      </c>
      <c r="K14" s="46">
        <v>44</v>
      </c>
      <c r="L14" s="46">
        <v>46</v>
      </c>
      <c r="M14" s="46">
        <v>43.5</v>
      </c>
      <c r="N14" s="46" t="s">
        <v>290</v>
      </c>
      <c r="O14" s="46" t="s">
        <v>291</v>
      </c>
      <c r="P14" s="46" t="s">
        <v>309</v>
      </c>
      <c r="Q14" s="46" t="s">
        <v>310</v>
      </c>
      <c r="R14" s="243">
        <v>44958</v>
      </c>
      <c r="S14" s="46" t="s">
        <v>306</v>
      </c>
    </row>
    <row r="15" spans="1:19" hidden="1" x14ac:dyDescent="0.3">
      <c r="A15" s="46" t="s">
        <v>95</v>
      </c>
      <c r="B15" s="46">
        <v>13993</v>
      </c>
      <c r="C15" s="210" t="s">
        <v>311</v>
      </c>
      <c r="D15" s="46" t="s">
        <v>258</v>
      </c>
      <c r="E15" s="215">
        <v>44697</v>
      </c>
      <c r="F15" s="212">
        <f t="shared" ca="1" si="0"/>
        <v>2</v>
      </c>
      <c r="G15" s="114">
        <v>8</v>
      </c>
      <c r="H15" s="215">
        <v>44948</v>
      </c>
      <c r="I15" s="46"/>
      <c r="J15" s="46"/>
      <c r="K15" s="46"/>
      <c r="L15" s="46"/>
      <c r="M15" s="46"/>
      <c r="N15" s="46"/>
      <c r="O15" s="46" t="s">
        <v>291</v>
      </c>
      <c r="P15" s="46" t="s">
        <v>305</v>
      </c>
      <c r="Q15" s="46" t="s">
        <v>292</v>
      </c>
      <c r="R15" s="243">
        <v>44958</v>
      </c>
      <c r="S15" s="46" t="s">
        <v>306</v>
      </c>
    </row>
    <row r="16" spans="1:19" hidden="1" x14ac:dyDescent="0.3">
      <c r="A16" s="46" t="s">
        <v>95</v>
      </c>
      <c r="B16" s="46">
        <v>16362</v>
      </c>
      <c r="C16" s="210" t="s">
        <v>312</v>
      </c>
      <c r="D16" s="46" t="s">
        <v>254</v>
      </c>
      <c r="E16" s="215">
        <v>44737</v>
      </c>
      <c r="F16" s="212">
        <f t="shared" ca="1" si="0"/>
        <v>2</v>
      </c>
      <c r="G16" s="212">
        <v>6</v>
      </c>
      <c r="H16" s="215">
        <v>44948</v>
      </c>
      <c r="I16" s="46">
        <v>9</v>
      </c>
      <c r="J16" s="46">
        <v>67</v>
      </c>
      <c r="K16" s="46">
        <v>44</v>
      </c>
      <c r="L16" s="46">
        <v>46.5</v>
      </c>
      <c r="M16" s="46">
        <v>48</v>
      </c>
      <c r="N16" s="46" t="s">
        <v>290</v>
      </c>
      <c r="O16" s="46" t="s">
        <v>291</v>
      </c>
      <c r="P16" s="46" t="s">
        <v>116</v>
      </c>
      <c r="Q16" s="46" t="s">
        <v>292</v>
      </c>
      <c r="R16" s="243">
        <v>44958</v>
      </c>
      <c r="S16" s="46" t="s">
        <v>306</v>
      </c>
    </row>
    <row r="17" spans="1:19" hidden="1" x14ac:dyDescent="0.3">
      <c r="A17" s="46" t="s">
        <v>95</v>
      </c>
      <c r="B17" s="236">
        <v>16364</v>
      </c>
      <c r="C17" s="209" t="s">
        <v>313</v>
      </c>
      <c r="D17" s="236" t="s">
        <v>258</v>
      </c>
      <c r="E17" s="237">
        <v>44755</v>
      </c>
      <c r="F17" s="212">
        <f t="shared" ca="1" si="0"/>
        <v>2</v>
      </c>
      <c r="G17" s="212">
        <v>6</v>
      </c>
      <c r="H17" s="235">
        <v>44948</v>
      </c>
      <c r="I17" s="240">
        <v>10.7</v>
      </c>
      <c r="J17" s="234">
        <v>66</v>
      </c>
      <c r="K17" s="234">
        <v>43</v>
      </c>
      <c r="L17" s="234">
        <v>47</v>
      </c>
      <c r="M17" s="234">
        <v>55</v>
      </c>
      <c r="N17" s="236" t="s">
        <v>290</v>
      </c>
      <c r="O17" s="46" t="s">
        <v>291</v>
      </c>
      <c r="P17" s="236" t="s">
        <v>116</v>
      </c>
      <c r="Q17" s="46" t="s">
        <v>292</v>
      </c>
      <c r="R17" s="244">
        <v>44958</v>
      </c>
      <c r="S17" s="46" t="s">
        <v>306</v>
      </c>
    </row>
    <row r="18" spans="1:19" hidden="1" x14ac:dyDescent="0.3">
      <c r="A18" s="46" t="s">
        <v>95</v>
      </c>
      <c r="B18" s="236">
        <v>16389</v>
      </c>
      <c r="C18" s="209" t="s">
        <v>314</v>
      </c>
      <c r="D18" s="236" t="s">
        <v>258</v>
      </c>
      <c r="E18" s="237">
        <v>44805</v>
      </c>
      <c r="F18" s="212">
        <f t="shared" ca="1" si="0"/>
        <v>2</v>
      </c>
      <c r="G18" s="212">
        <v>4</v>
      </c>
      <c r="H18" s="235">
        <v>44948</v>
      </c>
      <c r="I18" s="234">
        <v>7.5</v>
      </c>
      <c r="J18" s="234">
        <v>68</v>
      </c>
      <c r="K18" s="234">
        <v>41</v>
      </c>
      <c r="L18" s="234">
        <v>43</v>
      </c>
      <c r="M18" s="234">
        <v>44</v>
      </c>
      <c r="N18" s="46" t="s">
        <v>290</v>
      </c>
      <c r="O18" s="46" t="s">
        <v>291</v>
      </c>
      <c r="P18" s="236" t="s">
        <v>116</v>
      </c>
      <c r="Q18" s="46" t="s">
        <v>315</v>
      </c>
      <c r="R18" s="244">
        <v>44958</v>
      </c>
      <c r="S18" s="46" t="s">
        <v>306</v>
      </c>
    </row>
    <row r="19" spans="1:19" hidden="1" x14ac:dyDescent="0.3">
      <c r="A19" s="46" t="s">
        <v>95</v>
      </c>
      <c r="B19" s="234">
        <v>16391</v>
      </c>
      <c r="C19" s="208" t="s">
        <v>316</v>
      </c>
      <c r="D19" s="234" t="s">
        <v>258</v>
      </c>
      <c r="E19" s="235">
        <v>44809</v>
      </c>
      <c r="F19" s="212">
        <f t="shared" ca="1" si="0"/>
        <v>2</v>
      </c>
      <c r="G19" s="213">
        <v>4</v>
      </c>
      <c r="H19" s="235">
        <v>44948</v>
      </c>
      <c r="I19" s="234">
        <v>6.7</v>
      </c>
      <c r="J19" s="234">
        <v>61</v>
      </c>
      <c r="K19" s="234">
        <v>42</v>
      </c>
      <c r="L19" s="234">
        <v>43</v>
      </c>
      <c r="M19" s="234">
        <v>46</v>
      </c>
      <c r="N19" s="234" t="s">
        <v>290</v>
      </c>
      <c r="O19" s="234" t="s">
        <v>291</v>
      </c>
      <c r="P19" s="234" t="s">
        <v>317</v>
      </c>
      <c r="Q19" s="234" t="s">
        <v>310</v>
      </c>
      <c r="R19" s="244">
        <v>44958</v>
      </c>
      <c r="S19" s="46" t="s">
        <v>306</v>
      </c>
    </row>
    <row r="20" spans="1:19" hidden="1" x14ac:dyDescent="0.3">
      <c r="A20" s="46" t="s">
        <v>95</v>
      </c>
      <c r="B20" s="234">
        <v>16260</v>
      </c>
      <c r="C20" s="208" t="s">
        <v>318</v>
      </c>
      <c r="D20" s="234" t="s">
        <v>254</v>
      </c>
      <c r="E20" s="235">
        <v>44460</v>
      </c>
      <c r="F20" s="212">
        <f t="shared" ca="1" si="0"/>
        <v>3</v>
      </c>
      <c r="G20" s="213">
        <v>4</v>
      </c>
      <c r="H20" s="235">
        <v>44948</v>
      </c>
      <c r="I20" s="234">
        <v>8.9</v>
      </c>
      <c r="J20" s="234">
        <v>72</v>
      </c>
      <c r="K20" s="234">
        <v>45</v>
      </c>
      <c r="L20" s="234">
        <v>47</v>
      </c>
      <c r="M20" s="234">
        <v>44</v>
      </c>
      <c r="N20" s="234" t="s">
        <v>290</v>
      </c>
      <c r="O20" s="234" t="s">
        <v>291</v>
      </c>
      <c r="P20" s="234" t="s">
        <v>116</v>
      </c>
      <c r="Q20" s="234" t="s">
        <v>292</v>
      </c>
      <c r="R20" s="244">
        <v>44986</v>
      </c>
      <c r="S20" s="46" t="s">
        <v>306</v>
      </c>
    </row>
    <row r="21" spans="1:19" hidden="1" x14ac:dyDescent="0.3">
      <c r="A21" s="46" t="s">
        <v>95</v>
      </c>
      <c r="B21" s="234">
        <v>16419</v>
      </c>
      <c r="C21" s="208" t="s">
        <v>319</v>
      </c>
      <c r="D21" s="234" t="s">
        <v>258</v>
      </c>
      <c r="E21" s="235">
        <v>44879</v>
      </c>
      <c r="F21" s="212">
        <f t="shared" ca="1" si="0"/>
        <v>2</v>
      </c>
      <c r="G21" s="213">
        <v>2</v>
      </c>
      <c r="H21" s="235">
        <v>44948</v>
      </c>
      <c r="I21" s="234">
        <v>5.4</v>
      </c>
      <c r="J21" s="234">
        <v>58</v>
      </c>
      <c r="K21" s="234">
        <v>39</v>
      </c>
      <c r="L21" s="234">
        <v>38</v>
      </c>
      <c r="M21" s="234">
        <v>41</v>
      </c>
      <c r="N21" s="234" t="s">
        <v>290</v>
      </c>
      <c r="O21" s="234" t="s">
        <v>291</v>
      </c>
      <c r="P21" s="234" t="s">
        <v>116</v>
      </c>
      <c r="Q21" s="234" t="s">
        <v>292</v>
      </c>
      <c r="R21" s="244">
        <v>44958</v>
      </c>
      <c r="S21" s="46" t="s">
        <v>306</v>
      </c>
    </row>
    <row r="22" spans="1:19" hidden="1" x14ac:dyDescent="0.3">
      <c r="A22" s="46" t="s">
        <v>95</v>
      </c>
      <c r="B22" s="234">
        <v>16418</v>
      </c>
      <c r="C22" s="208" t="s">
        <v>320</v>
      </c>
      <c r="D22" s="234" t="s">
        <v>258</v>
      </c>
      <c r="E22" s="235">
        <v>44906</v>
      </c>
      <c r="F22" s="212">
        <f t="shared" ca="1" si="0"/>
        <v>2</v>
      </c>
      <c r="G22" s="213">
        <v>1</v>
      </c>
      <c r="H22" s="235">
        <v>44948</v>
      </c>
      <c r="I22" s="234">
        <v>5.6</v>
      </c>
      <c r="J22" s="234">
        <v>58</v>
      </c>
      <c r="K22" s="234">
        <v>40</v>
      </c>
      <c r="L22" s="234">
        <v>39</v>
      </c>
      <c r="M22" s="234">
        <v>39</v>
      </c>
      <c r="N22" s="234" t="s">
        <v>290</v>
      </c>
      <c r="O22" s="234" t="s">
        <v>291</v>
      </c>
      <c r="P22" s="234" t="s">
        <v>116</v>
      </c>
      <c r="Q22" s="234" t="s">
        <v>292</v>
      </c>
      <c r="R22" s="244">
        <v>44958</v>
      </c>
      <c r="S22" s="46" t="s">
        <v>306</v>
      </c>
    </row>
    <row r="23" spans="1:19" hidden="1" x14ac:dyDescent="0.3">
      <c r="A23" s="234" t="s">
        <v>95</v>
      </c>
      <c r="B23" s="234">
        <v>16213</v>
      </c>
      <c r="C23" s="208" t="s">
        <v>321</v>
      </c>
      <c r="D23" s="234" t="s">
        <v>254</v>
      </c>
      <c r="E23" s="235">
        <v>44308</v>
      </c>
      <c r="F23" s="212">
        <f t="shared" ca="1" si="0"/>
        <v>4</v>
      </c>
      <c r="G23" s="213">
        <v>9</v>
      </c>
      <c r="H23" s="235">
        <v>44948</v>
      </c>
      <c r="I23" s="234">
        <v>11.2</v>
      </c>
      <c r="J23" s="234">
        <v>82</v>
      </c>
      <c r="K23" s="234">
        <v>48</v>
      </c>
      <c r="L23" s="234">
        <v>48.5</v>
      </c>
      <c r="M23" s="234">
        <v>52</v>
      </c>
      <c r="N23" s="234" t="s">
        <v>290</v>
      </c>
      <c r="O23" s="234" t="s">
        <v>291</v>
      </c>
      <c r="P23" s="234" t="s">
        <v>116</v>
      </c>
      <c r="Q23" s="234" t="s">
        <v>292</v>
      </c>
      <c r="R23" s="244">
        <v>44958</v>
      </c>
      <c r="S23" s="46" t="s">
        <v>306</v>
      </c>
    </row>
    <row r="24" spans="1:19" hidden="1" x14ac:dyDescent="0.3">
      <c r="A24" s="234" t="s">
        <v>95</v>
      </c>
      <c r="B24" s="234">
        <v>16251</v>
      </c>
      <c r="C24" s="208" t="s">
        <v>322</v>
      </c>
      <c r="D24" s="234" t="s">
        <v>258</v>
      </c>
      <c r="E24" s="235">
        <v>44400</v>
      </c>
      <c r="F24" s="212">
        <f t="shared" ca="1" si="0"/>
        <v>3</v>
      </c>
      <c r="G24" s="213">
        <v>6</v>
      </c>
      <c r="H24" s="235">
        <v>44948</v>
      </c>
      <c r="I24" s="234">
        <v>9.9</v>
      </c>
      <c r="J24" s="234">
        <v>81.5</v>
      </c>
      <c r="K24" s="234">
        <v>46.5</v>
      </c>
      <c r="L24" s="234">
        <v>50</v>
      </c>
      <c r="M24" s="234">
        <v>50</v>
      </c>
      <c r="N24" s="234" t="s">
        <v>290</v>
      </c>
      <c r="O24" s="234" t="s">
        <v>291</v>
      </c>
      <c r="P24" s="234" t="s">
        <v>323</v>
      </c>
      <c r="Q24" s="234" t="s">
        <v>310</v>
      </c>
      <c r="R24" s="244">
        <v>45078</v>
      </c>
      <c r="S24" s="46" t="s">
        <v>306</v>
      </c>
    </row>
    <row r="25" spans="1:19" hidden="1" x14ac:dyDescent="0.3">
      <c r="A25" s="72" t="s">
        <v>95</v>
      </c>
      <c r="B25" s="72">
        <v>16420</v>
      </c>
      <c r="C25" s="211" t="s">
        <v>324</v>
      </c>
      <c r="D25" s="72" t="s">
        <v>254</v>
      </c>
      <c r="E25" s="238">
        <v>44937</v>
      </c>
      <c r="F25" s="212">
        <f t="shared" ca="1" si="0"/>
        <v>2</v>
      </c>
      <c r="G25" s="213">
        <v>0</v>
      </c>
      <c r="H25" s="238">
        <v>44948</v>
      </c>
      <c r="I25" s="72">
        <v>4.3</v>
      </c>
      <c r="J25" s="72">
        <v>53</v>
      </c>
      <c r="K25" s="72">
        <v>36</v>
      </c>
      <c r="L25" s="72">
        <v>34.5</v>
      </c>
      <c r="M25" s="72">
        <v>38</v>
      </c>
      <c r="N25" s="72" t="s">
        <v>290</v>
      </c>
      <c r="O25" s="72" t="s">
        <v>291</v>
      </c>
      <c r="P25" s="72" t="s">
        <v>116</v>
      </c>
      <c r="Q25" s="72" t="s">
        <v>292</v>
      </c>
      <c r="R25" s="245">
        <v>44958</v>
      </c>
      <c r="S25" s="46" t="s">
        <v>306</v>
      </c>
    </row>
    <row r="26" spans="1:19" hidden="1" x14ac:dyDescent="0.3">
      <c r="A26" s="72" t="s">
        <v>101</v>
      </c>
      <c r="B26" s="72">
        <v>16181</v>
      </c>
      <c r="C26" s="211" t="s">
        <v>325</v>
      </c>
      <c r="D26" s="72" t="s">
        <v>254</v>
      </c>
      <c r="E26" s="238">
        <v>44174</v>
      </c>
      <c r="F26" s="212">
        <f t="shared" ca="1" si="0"/>
        <v>4</v>
      </c>
      <c r="G26" s="213"/>
      <c r="H26" s="238">
        <v>44947</v>
      </c>
      <c r="I26" s="72">
        <v>11</v>
      </c>
      <c r="J26" s="72">
        <v>80</v>
      </c>
      <c r="K26" s="72">
        <v>48</v>
      </c>
      <c r="L26" s="72">
        <v>50</v>
      </c>
      <c r="M26" s="72">
        <v>50</v>
      </c>
      <c r="N26" s="72" t="s">
        <v>290</v>
      </c>
      <c r="O26" s="72" t="s">
        <v>291</v>
      </c>
      <c r="P26" s="72" t="s">
        <v>323</v>
      </c>
      <c r="Q26" s="72" t="s">
        <v>310</v>
      </c>
      <c r="R26" s="245">
        <v>45261</v>
      </c>
      <c r="S26" s="46" t="s">
        <v>326</v>
      </c>
    </row>
    <row r="27" spans="1:19" hidden="1" x14ac:dyDescent="0.3">
      <c r="A27" s="72" t="s">
        <v>101</v>
      </c>
      <c r="B27" s="72">
        <v>16322</v>
      </c>
      <c r="C27" s="211" t="s">
        <v>327</v>
      </c>
      <c r="D27" s="72" t="s">
        <v>258</v>
      </c>
      <c r="E27" s="238">
        <v>44636</v>
      </c>
      <c r="F27" s="212">
        <f t="shared" ca="1" si="0"/>
        <v>3</v>
      </c>
      <c r="G27" s="213"/>
      <c r="H27" s="238">
        <v>44947</v>
      </c>
      <c r="I27" s="72">
        <v>9.1999999999999993</v>
      </c>
      <c r="J27" s="72">
        <v>78</v>
      </c>
      <c r="K27" s="72">
        <v>47</v>
      </c>
      <c r="L27" s="72">
        <v>48</v>
      </c>
      <c r="M27" s="72">
        <v>47</v>
      </c>
      <c r="N27" s="72" t="s">
        <v>290</v>
      </c>
      <c r="O27" s="72" t="s">
        <v>291</v>
      </c>
      <c r="P27" s="72" t="s">
        <v>328</v>
      </c>
      <c r="Q27" s="72" t="s">
        <v>310</v>
      </c>
      <c r="R27" s="245">
        <v>44958</v>
      </c>
      <c r="S27" s="46" t="s">
        <v>326</v>
      </c>
    </row>
    <row r="28" spans="1:19" hidden="1" x14ac:dyDescent="0.3">
      <c r="A28" s="72" t="s">
        <v>101</v>
      </c>
      <c r="B28" s="72">
        <v>16410</v>
      </c>
      <c r="C28" s="211" t="s">
        <v>329</v>
      </c>
      <c r="D28" s="72" t="s">
        <v>258</v>
      </c>
      <c r="E28" s="238">
        <v>44854</v>
      </c>
      <c r="F28" s="212">
        <f t="shared" ca="1" si="0"/>
        <v>2</v>
      </c>
      <c r="G28" s="213"/>
      <c r="H28" s="238">
        <v>44947</v>
      </c>
      <c r="I28" s="72">
        <v>5.5</v>
      </c>
      <c r="J28" s="72">
        <v>54.5</v>
      </c>
      <c r="K28" s="72">
        <v>40</v>
      </c>
      <c r="L28" s="72">
        <v>40</v>
      </c>
      <c r="M28" s="72">
        <v>38</v>
      </c>
      <c r="N28" s="72" t="s">
        <v>290</v>
      </c>
      <c r="O28" s="72" t="s">
        <v>291</v>
      </c>
      <c r="P28" s="72" t="s">
        <v>116</v>
      </c>
      <c r="Q28" s="72" t="s">
        <v>292</v>
      </c>
      <c r="R28" s="245">
        <v>44958</v>
      </c>
      <c r="S28" s="46" t="s">
        <v>326</v>
      </c>
    </row>
    <row r="29" spans="1:19" hidden="1" x14ac:dyDescent="0.3">
      <c r="A29" s="72" t="s">
        <v>101</v>
      </c>
      <c r="B29" s="72">
        <v>16276</v>
      </c>
      <c r="C29" s="211" t="s">
        <v>330</v>
      </c>
      <c r="D29" s="72" t="s">
        <v>258</v>
      </c>
      <c r="E29" s="238">
        <v>44491</v>
      </c>
      <c r="F29" s="212">
        <f t="shared" ca="1" si="0"/>
        <v>3</v>
      </c>
      <c r="G29" s="213"/>
      <c r="H29" s="238">
        <v>44947</v>
      </c>
      <c r="I29" s="72">
        <v>9.6</v>
      </c>
      <c r="J29" s="72">
        <v>73</v>
      </c>
      <c r="K29" s="72">
        <v>46</v>
      </c>
      <c r="L29" s="72">
        <v>45</v>
      </c>
      <c r="M29" s="72">
        <v>46</v>
      </c>
      <c r="N29" s="72" t="s">
        <v>290</v>
      </c>
      <c r="O29" s="72" t="s">
        <v>291</v>
      </c>
      <c r="P29" s="72" t="s">
        <v>116</v>
      </c>
      <c r="Q29" s="72" t="s">
        <v>292</v>
      </c>
      <c r="R29" s="245">
        <v>45017</v>
      </c>
      <c r="S29" s="46" t="s">
        <v>326</v>
      </c>
    </row>
    <row r="30" spans="1:19" hidden="1" x14ac:dyDescent="0.3">
      <c r="A30" s="72" t="s">
        <v>101</v>
      </c>
      <c r="B30" s="72">
        <v>16308</v>
      </c>
      <c r="C30" s="211" t="s">
        <v>331</v>
      </c>
      <c r="D30" s="72" t="s">
        <v>258</v>
      </c>
      <c r="E30" s="238">
        <v>44599</v>
      </c>
      <c r="F30" s="212">
        <f t="shared" ca="1" si="0"/>
        <v>3</v>
      </c>
      <c r="G30" s="213"/>
      <c r="H30" s="238">
        <v>44947</v>
      </c>
      <c r="I30" s="72"/>
      <c r="J30" s="72"/>
      <c r="K30" s="72"/>
      <c r="L30" s="72"/>
      <c r="M30" s="72"/>
      <c r="N30" s="72"/>
      <c r="O30" s="72"/>
      <c r="P30" s="72" t="s">
        <v>305</v>
      </c>
      <c r="Q30" s="72"/>
      <c r="R30" s="245">
        <v>44958</v>
      </c>
      <c r="S30" s="46" t="s">
        <v>326</v>
      </c>
    </row>
    <row r="31" spans="1:19" hidden="1" x14ac:dyDescent="0.3">
      <c r="A31" s="72" t="s">
        <v>101</v>
      </c>
      <c r="B31" s="72">
        <v>15821</v>
      </c>
      <c r="C31" s="211" t="s">
        <v>332</v>
      </c>
      <c r="D31" s="72" t="s">
        <v>254</v>
      </c>
      <c r="E31" s="238">
        <v>43113</v>
      </c>
      <c r="F31" s="212">
        <f t="shared" ca="1" si="0"/>
        <v>7</v>
      </c>
      <c r="G31" s="213"/>
      <c r="H31" s="238">
        <v>44947</v>
      </c>
      <c r="I31" s="72">
        <v>16.100000000000001</v>
      </c>
      <c r="J31" s="72">
        <v>104</v>
      </c>
      <c r="K31" s="72">
        <v>50</v>
      </c>
      <c r="L31" s="72">
        <v>54</v>
      </c>
      <c r="M31" s="72">
        <v>51</v>
      </c>
      <c r="N31" s="72" t="s">
        <v>290</v>
      </c>
      <c r="O31" s="72" t="s">
        <v>291</v>
      </c>
      <c r="P31" s="72" t="s">
        <v>116</v>
      </c>
      <c r="Q31" s="72" t="s">
        <v>292</v>
      </c>
      <c r="R31" s="245" t="s">
        <v>333</v>
      </c>
      <c r="S31" s="46" t="s">
        <v>326</v>
      </c>
    </row>
    <row r="32" spans="1:19" hidden="1" x14ac:dyDescent="0.3">
      <c r="A32" s="72" t="s">
        <v>101</v>
      </c>
      <c r="B32" s="72">
        <v>15819</v>
      </c>
      <c r="C32" s="211" t="s">
        <v>334</v>
      </c>
      <c r="D32" s="72" t="s">
        <v>258</v>
      </c>
      <c r="E32" s="238">
        <v>43118</v>
      </c>
      <c r="F32" s="212">
        <f t="shared" ca="1" si="0"/>
        <v>7</v>
      </c>
      <c r="G32" s="213"/>
      <c r="H32" s="238">
        <v>44947</v>
      </c>
      <c r="I32" s="72">
        <v>16.3</v>
      </c>
      <c r="J32" s="72">
        <v>106</v>
      </c>
      <c r="K32" s="72">
        <v>52</v>
      </c>
      <c r="L32" s="72">
        <v>55</v>
      </c>
      <c r="M32" s="72">
        <v>52</v>
      </c>
      <c r="N32" s="72" t="s">
        <v>290</v>
      </c>
      <c r="O32" s="72" t="s">
        <v>291</v>
      </c>
      <c r="P32" s="72" t="s">
        <v>116</v>
      </c>
      <c r="Q32" s="72" t="s">
        <v>292</v>
      </c>
      <c r="R32" s="245" t="s">
        <v>333</v>
      </c>
      <c r="S32" s="46" t="s">
        <v>326</v>
      </c>
    </row>
    <row r="33" spans="1:19" hidden="1" x14ac:dyDescent="0.3">
      <c r="A33" s="72" t="s">
        <v>101</v>
      </c>
      <c r="B33" s="72">
        <v>16253</v>
      </c>
      <c r="C33" s="211" t="s">
        <v>335</v>
      </c>
      <c r="D33" s="72" t="s">
        <v>258</v>
      </c>
      <c r="E33" s="238">
        <v>44443</v>
      </c>
      <c r="F33" s="212">
        <f t="shared" ca="1" si="0"/>
        <v>3</v>
      </c>
      <c r="G33" s="213"/>
      <c r="H33" s="238">
        <v>44947</v>
      </c>
      <c r="I33" s="72">
        <v>9.9</v>
      </c>
      <c r="J33" s="72">
        <v>78</v>
      </c>
      <c r="K33" s="72">
        <v>48</v>
      </c>
      <c r="L33" s="72">
        <v>51</v>
      </c>
      <c r="M33" s="72">
        <v>48</v>
      </c>
      <c r="N33" s="72" t="s">
        <v>290</v>
      </c>
      <c r="O33" s="72" t="s">
        <v>291</v>
      </c>
      <c r="P33" s="72" t="s">
        <v>116</v>
      </c>
      <c r="Q33" s="72" t="s">
        <v>292</v>
      </c>
      <c r="R33" s="245">
        <v>44986</v>
      </c>
      <c r="S33" s="46" t="s">
        <v>326</v>
      </c>
    </row>
    <row r="34" spans="1:19" hidden="1" x14ac:dyDescent="0.3">
      <c r="A34" s="72" t="s">
        <v>101</v>
      </c>
      <c r="B34" s="72">
        <v>16366</v>
      </c>
      <c r="C34" s="211" t="s">
        <v>336</v>
      </c>
      <c r="D34" s="72" t="s">
        <v>254</v>
      </c>
      <c r="E34" s="238">
        <v>44762</v>
      </c>
      <c r="F34" s="212">
        <f t="shared" ca="1" si="0"/>
        <v>2</v>
      </c>
      <c r="G34" s="213"/>
      <c r="H34" s="238">
        <v>44947</v>
      </c>
      <c r="I34" s="72">
        <v>6.9</v>
      </c>
      <c r="J34" s="72">
        <v>60</v>
      </c>
      <c r="K34" s="72">
        <v>43</v>
      </c>
      <c r="L34" s="72">
        <v>42</v>
      </c>
      <c r="M34" s="72">
        <v>44</v>
      </c>
      <c r="N34" s="72" t="s">
        <v>290</v>
      </c>
      <c r="O34" s="72" t="s">
        <v>291</v>
      </c>
      <c r="P34" s="72" t="s">
        <v>317</v>
      </c>
      <c r="Q34" s="72" t="s">
        <v>292</v>
      </c>
      <c r="R34" s="245">
        <v>45017</v>
      </c>
      <c r="S34" s="46" t="s">
        <v>326</v>
      </c>
    </row>
    <row r="35" spans="1:19" hidden="1" x14ac:dyDescent="0.3">
      <c r="A35" s="72" t="s">
        <v>101</v>
      </c>
      <c r="B35" s="72">
        <v>16373</v>
      </c>
      <c r="C35" s="211" t="s">
        <v>337</v>
      </c>
      <c r="D35" s="72" t="s">
        <v>254</v>
      </c>
      <c r="E35" s="238">
        <v>44799</v>
      </c>
      <c r="F35" s="212">
        <f t="shared" ca="1" si="0"/>
        <v>2</v>
      </c>
      <c r="G35" s="213"/>
      <c r="H35" s="238">
        <v>44947</v>
      </c>
      <c r="I35" s="72">
        <v>7.5</v>
      </c>
      <c r="J35" s="72">
        <v>62.5</v>
      </c>
      <c r="K35" s="72">
        <v>44</v>
      </c>
      <c r="L35" s="72">
        <v>42</v>
      </c>
      <c r="M35" s="72">
        <v>44</v>
      </c>
      <c r="N35" s="72" t="s">
        <v>290</v>
      </c>
      <c r="O35" s="72" t="s">
        <v>291</v>
      </c>
      <c r="P35" s="72" t="s">
        <v>116</v>
      </c>
      <c r="Q35" s="72" t="s">
        <v>292</v>
      </c>
      <c r="R35" s="245">
        <v>44986</v>
      </c>
      <c r="S35" s="46" t="s">
        <v>326</v>
      </c>
    </row>
    <row r="36" spans="1:19" hidden="1" x14ac:dyDescent="0.3">
      <c r="A36" s="72" t="s">
        <v>101</v>
      </c>
      <c r="B36" s="72">
        <v>16278</v>
      </c>
      <c r="C36" s="211" t="s">
        <v>338</v>
      </c>
      <c r="D36" s="72" t="s">
        <v>254</v>
      </c>
      <c r="E36" s="238">
        <v>44518</v>
      </c>
      <c r="F36" s="212">
        <f t="shared" ca="1" si="0"/>
        <v>3</v>
      </c>
      <c r="G36" s="213"/>
      <c r="H36" s="238">
        <v>44951</v>
      </c>
      <c r="I36" s="72">
        <v>9</v>
      </c>
      <c r="J36" s="72">
        <v>72</v>
      </c>
      <c r="K36" s="72">
        <v>45</v>
      </c>
      <c r="L36" s="72">
        <v>50</v>
      </c>
      <c r="M36" s="72">
        <v>48</v>
      </c>
      <c r="N36" s="72" t="s">
        <v>290</v>
      </c>
      <c r="O36" s="72" t="s">
        <v>291</v>
      </c>
      <c r="P36" s="72" t="s">
        <v>116</v>
      </c>
      <c r="Q36" s="72" t="s">
        <v>292</v>
      </c>
      <c r="R36" s="245">
        <v>45047</v>
      </c>
      <c r="S36" s="46" t="s">
        <v>339</v>
      </c>
    </row>
    <row r="37" spans="1:19" hidden="1" x14ac:dyDescent="0.3">
      <c r="A37" s="72" t="s">
        <v>101</v>
      </c>
      <c r="B37" s="72">
        <v>15936</v>
      </c>
      <c r="C37" s="211" t="s">
        <v>340</v>
      </c>
      <c r="D37" s="72" t="s">
        <v>254</v>
      </c>
      <c r="E37" s="238">
        <v>43454</v>
      </c>
      <c r="F37" s="212">
        <f t="shared" ca="1" si="0"/>
        <v>6</v>
      </c>
      <c r="G37" s="213"/>
      <c r="H37" s="238">
        <v>44951</v>
      </c>
      <c r="I37" s="72">
        <v>12.9</v>
      </c>
      <c r="J37" s="72">
        <v>98</v>
      </c>
      <c r="K37" s="72">
        <v>51</v>
      </c>
      <c r="L37" s="72">
        <v>47</v>
      </c>
      <c r="M37" s="72">
        <v>47</v>
      </c>
      <c r="N37" s="72" t="s">
        <v>290</v>
      </c>
      <c r="O37" s="72" t="s">
        <v>291</v>
      </c>
      <c r="P37" s="72" t="s">
        <v>116</v>
      </c>
      <c r="Q37" s="72" t="s">
        <v>292</v>
      </c>
      <c r="R37" s="245" t="s">
        <v>333</v>
      </c>
      <c r="S37" s="46" t="s">
        <v>339</v>
      </c>
    </row>
    <row r="38" spans="1:19" hidden="1" x14ac:dyDescent="0.3">
      <c r="A38" s="72" t="s">
        <v>101</v>
      </c>
      <c r="B38" s="72">
        <v>16247</v>
      </c>
      <c r="C38" s="211" t="s">
        <v>341</v>
      </c>
      <c r="D38" s="72" t="s">
        <v>254</v>
      </c>
      <c r="E38" s="238">
        <v>44422</v>
      </c>
      <c r="F38" s="212">
        <f t="shared" ca="1" si="0"/>
        <v>3</v>
      </c>
      <c r="G38" s="213"/>
      <c r="H38" s="238">
        <v>44951</v>
      </c>
      <c r="I38" s="72">
        <v>10</v>
      </c>
      <c r="J38" s="72">
        <v>81</v>
      </c>
      <c r="K38" s="72">
        <v>47</v>
      </c>
      <c r="L38" s="72">
        <v>48</v>
      </c>
      <c r="M38" s="72">
        <v>47</v>
      </c>
      <c r="N38" s="72" t="s">
        <v>290</v>
      </c>
      <c r="O38" s="72" t="s">
        <v>291</v>
      </c>
      <c r="P38" s="72" t="s">
        <v>116</v>
      </c>
      <c r="Q38" s="72" t="s">
        <v>292</v>
      </c>
      <c r="R38" s="245">
        <v>44958</v>
      </c>
      <c r="S38" s="46" t="s">
        <v>339</v>
      </c>
    </row>
    <row r="39" spans="1:19" hidden="1" x14ac:dyDescent="0.3">
      <c r="A39" s="72" t="s">
        <v>101</v>
      </c>
      <c r="B39" s="72">
        <v>16349</v>
      </c>
      <c r="C39" s="211" t="s">
        <v>342</v>
      </c>
      <c r="D39" s="72" t="s">
        <v>254</v>
      </c>
      <c r="E39" s="238">
        <v>44693</v>
      </c>
      <c r="F39" s="212">
        <f t="shared" ca="1" si="0"/>
        <v>2</v>
      </c>
      <c r="G39" s="213"/>
      <c r="H39" s="238">
        <v>44951</v>
      </c>
      <c r="I39" s="72">
        <v>7.7</v>
      </c>
      <c r="J39" s="72">
        <v>65</v>
      </c>
      <c r="K39" s="72">
        <v>45</v>
      </c>
      <c r="L39" s="72">
        <v>47</v>
      </c>
      <c r="M39" s="72">
        <v>43</v>
      </c>
      <c r="N39" s="72" t="s">
        <v>290</v>
      </c>
      <c r="O39" s="72" t="s">
        <v>291</v>
      </c>
      <c r="P39" s="72" t="s">
        <v>116</v>
      </c>
      <c r="Q39" s="72" t="s">
        <v>292</v>
      </c>
      <c r="R39" s="245">
        <v>44958</v>
      </c>
      <c r="S39" s="46" t="s">
        <v>339</v>
      </c>
    </row>
    <row r="40" spans="1:19" hidden="1" x14ac:dyDescent="0.3">
      <c r="A40" s="72" t="s">
        <v>343</v>
      </c>
      <c r="B40" s="72">
        <v>15953</v>
      </c>
      <c r="C40" s="211" t="s">
        <v>344</v>
      </c>
      <c r="D40" s="72" t="s">
        <v>258</v>
      </c>
      <c r="E40" s="238">
        <v>43526</v>
      </c>
      <c r="F40" s="212">
        <f t="shared" ca="1" si="0"/>
        <v>6</v>
      </c>
      <c r="G40" s="114">
        <v>10</v>
      </c>
      <c r="H40" s="238">
        <v>44951</v>
      </c>
      <c r="I40" s="72">
        <v>13.7</v>
      </c>
      <c r="J40" s="72">
        <v>96</v>
      </c>
      <c r="K40" s="72">
        <v>48</v>
      </c>
      <c r="L40" s="72">
        <v>51</v>
      </c>
      <c r="M40" s="72">
        <v>51</v>
      </c>
      <c r="N40" s="72" t="s">
        <v>290</v>
      </c>
      <c r="O40" s="72" t="s">
        <v>291</v>
      </c>
      <c r="P40" s="72" t="s">
        <v>116</v>
      </c>
      <c r="Q40" s="72" t="s">
        <v>292</v>
      </c>
      <c r="R40" s="245">
        <v>45292</v>
      </c>
      <c r="S40" s="72" t="s">
        <v>345</v>
      </c>
    </row>
    <row r="41" spans="1:19" hidden="1" x14ac:dyDescent="0.3">
      <c r="A41" s="72" t="s">
        <v>343</v>
      </c>
      <c r="B41" s="72">
        <v>15885</v>
      </c>
      <c r="C41" s="211" t="s">
        <v>346</v>
      </c>
      <c r="D41" s="72" t="s">
        <v>254</v>
      </c>
      <c r="E41" s="238">
        <v>43315</v>
      </c>
      <c r="F41" s="212">
        <f t="shared" ca="1" si="0"/>
        <v>6</v>
      </c>
      <c r="G41" s="213">
        <v>5</v>
      </c>
      <c r="H41" s="238">
        <v>44951</v>
      </c>
      <c r="I41" s="72">
        <v>15.5</v>
      </c>
      <c r="J41" s="72">
        <v>101</v>
      </c>
      <c r="K41" s="72">
        <v>48</v>
      </c>
      <c r="L41" s="72">
        <v>52</v>
      </c>
      <c r="M41" s="72">
        <v>51</v>
      </c>
      <c r="N41" s="72" t="s">
        <v>290</v>
      </c>
      <c r="O41" s="72" t="s">
        <v>291</v>
      </c>
      <c r="P41" s="72" t="s">
        <v>116</v>
      </c>
      <c r="Q41" s="72" t="s">
        <v>292</v>
      </c>
      <c r="R41" s="245">
        <v>45292</v>
      </c>
      <c r="S41" s="72" t="s">
        <v>345</v>
      </c>
    </row>
    <row r="42" spans="1:19" hidden="1" x14ac:dyDescent="0.3">
      <c r="A42" s="72" t="s">
        <v>343</v>
      </c>
      <c r="B42" s="72">
        <v>16240</v>
      </c>
      <c r="C42" s="211" t="s">
        <v>347</v>
      </c>
      <c r="D42" s="72" t="s">
        <v>258</v>
      </c>
      <c r="E42" s="238">
        <v>44406</v>
      </c>
      <c r="F42" s="212">
        <f t="shared" ca="1" si="0"/>
        <v>3</v>
      </c>
      <c r="G42" s="213">
        <v>5</v>
      </c>
      <c r="H42" s="238">
        <v>44951</v>
      </c>
      <c r="I42" s="72">
        <v>9.6999999999999993</v>
      </c>
      <c r="J42" s="72">
        <v>77</v>
      </c>
      <c r="K42" s="72">
        <v>46</v>
      </c>
      <c r="L42" s="72">
        <v>48</v>
      </c>
      <c r="M42" s="72">
        <v>50</v>
      </c>
      <c r="N42" s="72" t="s">
        <v>290</v>
      </c>
      <c r="O42" s="72" t="s">
        <v>291</v>
      </c>
      <c r="P42" s="72" t="s">
        <v>116</v>
      </c>
      <c r="Q42" s="72" t="s">
        <v>292</v>
      </c>
      <c r="R42" s="245">
        <v>44958</v>
      </c>
      <c r="S42" s="72" t="s">
        <v>345</v>
      </c>
    </row>
    <row r="43" spans="1:19" hidden="1" x14ac:dyDescent="0.3">
      <c r="A43" s="72" t="s">
        <v>343</v>
      </c>
      <c r="B43" s="72">
        <v>15886</v>
      </c>
      <c r="C43" s="211" t="s">
        <v>348</v>
      </c>
      <c r="D43" s="72" t="s">
        <v>254</v>
      </c>
      <c r="E43" s="238">
        <v>43303</v>
      </c>
      <c r="F43" s="212">
        <f t="shared" ca="1" si="0"/>
        <v>6</v>
      </c>
      <c r="G43" s="213">
        <v>6</v>
      </c>
      <c r="H43" s="238">
        <v>44951</v>
      </c>
      <c r="I43" s="72">
        <v>16.5</v>
      </c>
      <c r="J43" s="72">
        <v>100</v>
      </c>
      <c r="K43" s="72">
        <v>50</v>
      </c>
      <c r="L43" s="72">
        <v>54</v>
      </c>
      <c r="M43" s="72">
        <v>55</v>
      </c>
      <c r="N43" s="72" t="s">
        <v>290</v>
      </c>
      <c r="O43" s="72" t="s">
        <v>291</v>
      </c>
      <c r="P43" s="72" t="s">
        <v>116</v>
      </c>
      <c r="Q43" s="72" t="s">
        <v>292</v>
      </c>
      <c r="R43" s="245">
        <v>45292</v>
      </c>
      <c r="S43" s="72" t="s">
        <v>345</v>
      </c>
    </row>
    <row r="44" spans="1:19" hidden="1" x14ac:dyDescent="0.3">
      <c r="A44" s="46" t="s">
        <v>343</v>
      </c>
      <c r="B44" s="46">
        <v>16062</v>
      </c>
      <c r="C44" s="210" t="s">
        <v>349</v>
      </c>
      <c r="D44" s="46" t="s">
        <v>254</v>
      </c>
      <c r="E44" s="215">
        <v>43852</v>
      </c>
      <c r="F44" s="212">
        <f t="shared" ca="1" si="0"/>
        <v>5</v>
      </c>
      <c r="G44" s="46">
        <v>0</v>
      </c>
      <c r="H44" s="215">
        <v>44951</v>
      </c>
      <c r="I44" s="46">
        <v>11</v>
      </c>
      <c r="J44" s="46">
        <v>88</v>
      </c>
      <c r="K44" s="46">
        <v>47</v>
      </c>
      <c r="L44" s="46">
        <v>49</v>
      </c>
      <c r="M44" s="46">
        <v>48</v>
      </c>
      <c r="N44" s="46" t="s">
        <v>290</v>
      </c>
      <c r="O44" s="46" t="s">
        <v>291</v>
      </c>
      <c r="P44" s="46" t="s">
        <v>116</v>
      </c>
      <c r="Q44" s="46" t="s">
        <v>292</v>
      </c>
      <c r="R44" s="243">
        <v>45292</v>
      </c>
      <c r="S44" s="72" t="s">
        <v>345</v>
      </c>
    </row>
    <row r="45" spans="1:19" hidden="1" x14ac:dyDescent="0.3">
      <c r="A45" s="46" t="s">
        <v>343</v>
      </c>
      <c r="B45" s="46">
        <v>15952</v>
      </c>
      <c r="C45" s="210" t="s">
        <v>350</v>
      </c>
      <c r="D45" s="46" t="s">
        <v>254</v>
      </c>
      <c r="E45" s="215">
        <v>43524</v>
      </c>
      <c r="F45" s="212">
        <f t="shared" ca="1" si="0"/>
        <v>6</v>
      </c>
      <c r="G45" s="46">
        <v>10</v>
      </c>
      <c r="H45" s="215">
        <v>44951</v>
      </c>
      <c r="I45" s="46">
        <v>15.4</v>
      </c>
      <c r="J45" s="46">
        <v>80</v>
      </c>
      <c r="K45" s="46">
        <v>50</v>
      </c>
      <c r="L45" s="46">
        <v>53</v>
      </c>
      <c r="M45" s="46">
        <v>49</v>
      </c>
      <c r="N45" s="46" t="s">
        <v>290</v>
      </c>
      <c r="O45" s="46" t="s">
        <v>291</v>
      </c>
      <c r="P45" s="46" t="s">
        <v>116</v>
      </c>
      <c r="Q45" s="46" t="s">
        <v>292</v>
      </c>
      <c r="R45" s="243">
        <v>45292</v>
      </c>
      <c r="S45" s="72" t="s">
        <v>345</v>
      </c>
    </row>
    <row r="46" spans="1:19" hidden="1" x14ac:dyDescent="0.3">
      <c r="A46" s="46" t="s">
        <v>343</v>
      </c>
      <c r="B46" s="46">
        <v>16184</v>
      </c>
      <c r="C46" s="210" t="s">
        <v>351</v>
      </c>
      <c r="D46" s="46" t="s">
        <v>254</v>
      </c>
      <c r="E46" s="215">
        <v>44199</v>
      </c>
      <c r="F46" s="212">
        <f t="shared" ca="1" si="0"/>
        <v>4</v>
      </c>
      <c r="G46" s="46">
        <v>0</v>
      </c>
      <c r="H46" s="215">
        <v>44951</v>
      </c>
      <c r="I46" s="46">
        <v>11</v>
      </c>
      <c r="J46" s="46">
        <v>81.5</v>
      </c>
      <c r="K46" s="46">
        <v>45</v>
      </c>
      <c r="L46" s="46">
        <v>49</v>
      </c>
      <c r="M46" s="46">
        <v>46</v>
      </c>
      <c r="N46" s="46" t="s">
        <v>290</v>
      </c>
      <c r="O46" s="46" t="s">
        <v>291</v>
      </c>
      <c r="P46" s="46" t="s">
        <v>116</v>
      </c>
      <c r="Q46" s="46" t="s">
        <v>292</v>
      </c>
      <c r="R46" s="243">
        <v>45292</v>
      </c>
      <c r="S46" s="72" t="s">
        <v>345</v>
      </c>
    </row>
    <row r="47" spans="1:19" hidden="1" x14ac:dyDescent="0.3">
      <c r="A47" s="46" t="s">
        <v>343</v>
      </c>
      <c r="B47" s="46">
        <v>16282</v>
      </c>
      <c r="C47" s="210" t="s">
        <v>352</v>
      </c>
      <c r="D47" s="46" t="s">
        <v>254</v>
      </c>
      <c r="E47" s="215">
        <v>44215</v>
      </c>
      <c r="F47" s="212">
        <f t="shared" ca="1" si="0"/>
        <v>4</v>
      </c>
      <c r="G47" s="46">
        <v>0</v>
      </c>
      <c r="H47" s="215">
        <v>44957</v>
      </c>
      <c r="I47" s="46"/>
      <c r="J47" s="46"/>
      <c r="K47" s="46"/>
      <c r="L47" s="46"/>
      <c r="M47" s="46"/>
      <c r="N47" s="46"/>
      <c r="O47" s="46"/>
      <c r="P47" s="46" t="s">
        <v>305</v>
      </c>
      <c r="Q47" s="46" t="s">
        <v>292</v>
      </c>
      <c r="R47" s="243">
        <v>44958</v>
      </c>
      <c r="S47" s="72" t="s">
        <v>345</v>
      </c>
    </row>
    <row r="48" spans="1:19" hidden="1" x14ac:dyDescent="0.3">
      <c r="A48" s="46" t="s">
        <v>343</v>
      </c>
      <c r="B48" s="46">
        <v>16310</v>
      </c>
      <c r="C48" s="210" t="s">
        <v>353</v>
      </c>
      <c r="D48" s="46" t="s">
        <v>258</v>
      </c>
      <c r="E48" s="215">
        <v>44602</v>
      </c>
      <c r="F48" s="212">
        <f t="shared" ca="1" si="0"/>
        <v>3</v>
      </c>
      <c r="G48" s="46">
        <v>11</v>
      </c>
      <c r="H48" s="215">
        <v>44957</v>
      </c>
      <c r="I48" s="46">
        <v>8.5</v>
      </c>
      <c r="J48" s="46">
        <v>69.5</v>
      </c>
      <c r="K48" s="46">
        <v>45</v>
      </c>
      <c r="L48" s="46">
        <v>47</v>
      </c>
      <c r="M48" s="46">
        <v>49</v>
      </c>
      <c r="N48" s="46" t="s">
        <v>290</v>
      </c>
      <c r="O48" s="46" t="s">
        <v>291</v>
      </c>
      <c r="P48" s="46" t="s">
        <v>116</v>
      </c>
      <c r="Q48" s="46" t="s">
        <v>292</v>
      </c>
      <c r="R48" s="243">
        <v>44958</v>
      </c>
      <c r="S48" s="46" t="s">
        <v>354</v>
      </c>
    </row>
    <row r="49" spans="1:19" hidden="1" x14ac:dyDescent="0.3">
      <c r="A49" s="46" t="s">
        <v>343</v>
      </c>
      <c r="B49" s="46">
        <v>16214</v>
      </c>
      <c r="C49" s="210" t="s">
        <v>355</v>
      </c>
      <c r="D49" s="46" t="s">
        <v>254</v>
      </c>
      <c r="E49" s="215">
        <v>44317</v>
      </c>
      <c r="F49" s="212">
        <f t="shared" ca="1" si="0"/>
        <v>4</v>
      </c>
      <c r="G49" s="213">
        <v>8</v>
      </c>
      <c r="H49" s="215">
        <v>44957</v>
      </c>
      <c r="I49" s="46">
        <v>10.199999999999999</v>
      </c>
      <c r="J49" s="46">
        <v>78.5</v>
      </c>
      <c r="K49" s="46">
        <v>46</v>
      </c>
      <c r="L49" s="46">
        <v>47</v>
      </c>
      <c r="M49" s="46">
        <v>45</v>
      </c>
      <c r="N49" s="46" t="s">
        <v>290</v>
      </c>
      <c r="O49" s="46" t="s">
        <v>291</v>
      </c>
      <c r="P49" s="46" t="s">
        <v>116</v>
      </c>
      <c r="Q49" s="46" t="s">
        <v>292</v>
      </c>
      <c r="R49" s="243">
        <v>44958</v>
      </c>
      <c r="S49" s="46" t="s">
        <v>354</v>
      </c>
    </row>
    <row r="50" spans="1:19" hidden="1" x14ac:dyDescent="0.3">
      <c r="A50" s="46" t="s">
        <v>343</v>
      </c>
      <c r="B50" s="46">
        <v>15872</v>
      </c>
      <c r="C50" s="210" t="s">
        <v>356</v>
      </c>
      <c r="D50" s="46" t="s">
        <v>254</v>
      </c>
      <c r="E50" s="215">
        <v>43204</v>
      </c>
      <c r="F50" s="212">
        <f t="shared" ca="1" si="0"/>
        <v>7</v>
      </c>
      <c r="G50" s="213">
        <v>9</v>
      </c>
      <c r="H50" s="215">
        <v>44957</v>
      </c>
      <c r="I50" s="46">
        <v>15.1</v>
      </c>
      <c r="J50" s="46">
        <v>99</v>
      </c>
      <c r="K50" s="46">
        <v>48</v>
      </c>
      <c r="L50" s="46">
        <v>55</v>
      </c>
      <c r="M50" s="46">
        <v>52</v>
      </c>
      <c r="N50" s="46" t="s">
        <v>290</v>
      </c>
      <c r="O50" s="46" t="s">
        <v>291</v>
      </c>
      <c r="P50" s="46" t="s">
        <v>116</v>
      </c>
      <c r="Q50" s="46" t="s">
        <v>292</v>
      </c>
      <c r="R50" s="243">
        <v>45292</v>
      </c>
      <c r="S50" s="46" t="s">
        <v>354</v>
      </c>
    </row>
    <row r="51" spans="1:19" hidden="1" x14ac:dyDescent="0.3">
      <c r="A51" s="46" t="s">
        <v>343</v>
      </c>
      <c r="B51" s="46">
        <v>16015</v>
      </c>
      <c r="C51" s="210" t="s">
        <v>357</v>
      </c>
      <c r="D51" s="46" t="s">
        <v>258</v>
      </c>
      <c r="E51" s="215">
        <v>43746</v>
      </c>
      <c r="F51" s="212">
        <f t="shared" ca="1" si="0"/>
        <v>5</v>
      </c>
      <c r="G51" s="213">
        <v>3</v>
      </c>
      <c r="H51" s="215">
        <v>44957</v>
      </c>
      <c r="I51" s="46">
        <v>12.1</v>
      </c>
      <c r="J51" s="46">
        <v>91</v>
      </c>
      <c r="K51" s="46">
        <v>48</v>
      </c>
      <c r="L51" s="46">
        <v>53</v>
      </c>
      <c r="M51" s="46">
        <v>48</v>
      </c>
      <c r="N51" s="46" t="s">
        <v>290</v>
      </c>
      <c r="O51" s="46" t="s">
        <v>291</v>
      </c>
      <c r="P51" s="46" t="s">
        <v>116</v>
      </c>
      <c r="Q51" s="46" t="s">
        <v>292</v>
      </c>
      <c r="R51" s="243">
        <v>45292</v>
      </c>
      <c r="S51" s="46" t="s">
        <v>354</v>
      </c>
    </row>
    <row r="52" spans="1:19" hidden="1" x14ac:dyDescent="0.3">
      <c r="A52" s="46" t="s">
        <v>343</v>
      </c>
      <c r="B52" s="46">
        <v>16150</v>
      </c>
      <c r="C52" s="210" t="s">
        <v>358</v>
      </c>
      <c r="D52" s="46" t="s">
        <v>254</v>
      </c>
      <c r="E52" s="215">
        <v>44089</v>
      </c>
      <c r="F52" s="212">
        <f t="shared" ca="1" si="0"/>
        <v>4</v>
      </c>
      <c r="G52" s="213">
        <v>4</v>
      </c>
      <c r="H52" s="215">
        <v>44957</v>
      </c>
      <c r="I52" s="46">
        <v>12.1</v>
      </c>
      <c r="J52" s="46">
        <v>82</v>
      </c>
      <c r="K52" s="46">
        <v>49</v>
      </c>
      <c r="L52" s="46">
        <v>52</v>
      </c>
      <c r="M52" s="46">
        <v>55</v>
      </c>
      <c r="N52" s="46" t="s">
        <v>290</v>
      </c>
      <c r="O52" s="46" t="s">
        <v>291</v>
      </c>
      <c r="P52" s="46" t="s">
        <v>116</v>
      </c>
      <c r="Q52" s="46" t="s">
        <v>292</v>
      </c>
      <c r="R52" s="243">
        <v>45292</v>
      </c>
      <c r="S52" s="46" t="s">
        <v>354</v>
      </c>
    </row>
    <row r="53" spans="1:19" hidden="1" x14ac:dyDescent="0.3">
      <c r="A53" s="46" t="s">
        <v>343</v>
      </c>
      <c r="B53" s="46">
        <v>16080</v>
      </c>
      <c r="C53" s="210" t="s">
        <v>359</v>
      </c>
      <c r="D53" s="46" t="s">
        <v>258</v>
      </c>
      <c r="E53" s="215">
        <v>43887</v>
      </c>
      <c r="F53" s="212">
        <f t="shared" ca="1" si="0"/>
        <v>5</v>
      </c>
      <c r="G53" s="213">
        <v>11</v>
      </c>
      <c r="H53" s="215">
        <v>44957</v>
      </c>
      <c r="I53" s="46">
        <v>12.8</v>
      </c>
      <c r="J53" s="46">
        <v>91</v>
      </c>
      <c r="K53" s="46">
        <v>51</v>
      </c>
      <c r="L53" s="46">
        <v>53</v>
      </c>
      <c r="M53" s="46">
        <v>52</v>
      </c>
      <c r="N53" s="46" t="s">
        <v>290</v>
      </c>
      <c r="O53" s="46" t="s">
        <v>291</v>
      </c>
      <c r="P53" s="46" t="s">
        <v>116</v>
      </c>
      <c r="Q53" s="46" t="s">
        <v>292</v>
      </c>
      <c r="R53" s="243">
        <v>45292</v>
      </c>
      <c r="S53" s="46" t="s">
        <v>354</v>
      </c>
    </row>
    <row r="54" spans="1:19" hidden="1" x14ac:dyDescent="0.3">
      <c r="A54" s="46" t="s">
        <v>343</v>
      </c>
      <c r="B54" s="46">
        <v>16306</v>
      </c>
      <c r="C54" s="210" t="s">
        <v>360</v>
      </c>
      <c r="D54" s="46" t="s">
        <v>258</v>
      </c>
      <c r="E54" s="215">
        <v>44586</v>
      </c>
      <c r="F54" s="212">
        <f t="shared" ca="1" si="0"/>
        <v>3</v>
      </c>
      <c r="G54" s="213">
        <v>0</v>
      </c>
      <c r="H54" s="215">
        <v>44957</v>
      </c>
      <c r="I54" s="46">
        <v>9.5</v>
      </c>
      <c r="J54" s="46">
        <v>71</v>
      </c>
      <c r="K54" s="46">
        <v>47</v>
      </c>
      <c r="L54" s="46">
        <v>47</v>
      </c>
      <c r="M54" s="46">
        <v>48</v>
      </c>
      <c r="N54" s="46" t="s">
        <v>290</v>
      </c>
      <c r="O54" s="46" t="s">
        <v>291</v>
      </c>
      <c r="P54" s="46" t="s">
        <v>116</v>
      </c>
      <c r="Q54" s="46" t="s">
        <v>292</v>
      </c>
      <c r="R54" s="243">
        <v>45292</v>
      </c>
      <c r="S54" s="46" t="s">
        <v>354</v>
      </c>
    </row>
    <row r="55" spans="1:19" hidden="1" x14ac:dyDescent="0.3">
      <c r="A55" s="46" t="s">
        <v>343</v>
      </c>
      <c r="B55" s="46">
        <v>15911</v>
      </c>
      <c r="C55" s="210" t="s">
        <v>361</v>
      </c>
      <c r="D55" s="46" t="s">
        <v>258</v>
      </c>
      <c r="E55" s="215">
        <v>43363</v>
      </c>
      <c r="F55" s="212">
        <f t="shared" ca="1" si="0"/>
        <v>6</v>
      </c>
      <c r="G55" s="213">
        <v>4</v>
      </c>
      <c r="H55" s="215">
        <v>44957</v>
      </c>
      <c r="I55" s="46">
        <v>16.8</v>
      </c>
      <c r="J55" s="46">
        <v>103</v>
      </c>
      <c r="K55" s="46">
        <v>53</v>
      </c>
      <c r="L55" s="46">
        <v>57</v>
      </c>
      <c r="M55" s="46">
        <v>55</v>
      </c>
      <c r="N55" s="46" t="s">
        <v>290</v>
      </c>
      <c r="O55" s="46" t="s">
        <v>291</v>
      </c>
      <c r="P55" s="46" t="s">
        <v>116</v>
      </c>
      <c r="Q55" s="46" t="s">
        <v>292</v>
      </c>
      <c r="R55" s="243">
        <v>45292</v>
      </c>
      <c r="S55" s="46" t="s">
        <v>354</v>
      </c>
    </row>
    <row r="56" spans="1:19" hidden="1" x14ac:dyDescent="0.3">
      <c r="A56" s="46" t="s">
        <v>343</v>
      </c>
      <c r="B56" s="46">
        <v>16428</v>
      </c>
      <c r="C56" s="210" t="s">
        <v>362</v>
      </c>
      <c r="D56" s="46" t="s">
        <v>258</v>
      </c>
      <c r="E56" s="215">
        <v>44947</v>
      </c>
      <c r="F56" s="212">
        <f t="shared" ca="1" si="0"/>
        <v>2</v>
      </c>
      <c r="G56" s="213"/>
      <c r="H56" s="215">
        <v>44951</v>
      </c>
      <c r="I56" s="46">
        <v>2.8</v>
      </c>
      <c r="J56" s="46">
        <v>48</v>
      </c>
      <c r="K56" s="46">
        <v>34</v>
      </c>
      <c r="L56" s="46">
        <v>33</v>
      </c>
      <c r="M56" s="46">
        <v>34</v>
      </c>
      <c r="N56" s="46" t="s">
        <v>290</v>
      </c>
      <c r="O56" s="46" t="s">
        <v>291</v>
      </c>
      <c r="P56" s="46" t="s">
        <v>116</v>
      </c>
      <c r="Q56" s="46" t="s">
        <v>292</v>
      </c>
      <c r="R56" s="243">
        <v>44958</v>
      </c>
      <c r="S56" s="72" t="s">
        <v>345</v>
      </c>
    </row>
    <row r="57" spans="1:19" hidden="1" x14ac:dyDescent="0.3">
      <c r="A57" s="46" t="s">
        <v>363</v>
      </c>
      <c r="B57" s="46">
        <v>15875</v>
      </c>
      <c r="C57" s="210" t="s">
        <v>364</v>
      </c>
      <c r="D57" s="46" t="s">
        <v>254</v>
      </c>
      <c r="E57" s="215">
        <v>43147</v>
      </c>
      <c r="F57" s="212">
        <f t="shared" ca="1" si="0"/>
        <v>7</v>
      </c>
      <c r="G57" s="213">
        <v>1</v>
      </c>
      <c r="H57" s="215">
        <v>44952</v>
      </c>
      <c r="I57" s="46">
        <v>19.5</v>
      </c>
      <c r="J57" s="46">
        <v>105</v>
      </c>
      <c r="K57" s="46">
        <v>52</v>
      </c>
      <c r="L57" s="46">
        <v>57</v>
      </c>
      <c r="M57" s="46">
        <v>57</v>
      </c>
      <c r="N57" s="46" t="s">
        <v>290</v>
      </c>
      <c r="O57" s="46" t="s">
        <v>291</v>
      </c>
      <c r="P57" s="46" t="s">
        <v>116</v>
      </c>
      <c r="Q57" s="46" t="s">
        <v>292</v>
      </c>
      <c r="R57" s="243">
        <v>45292</v>
      </c>
      <c r="S57" s="72" t="s">
        <v>365</v>
      </c>
    </row>
    <row r="58" spans="1:19" hidden="1" x14ac:dyDescent="0.3">
      <c r="A58" s="46" t="s">
        <v>363</v>
      </c>
      <c r="B58" s="46">
        <v>16208</v>
      </c>
      <c r="C58" s="210" t="s">
        <v>366</v>
      </c>
      <c r="D58" s="46" t="s">
        <v>258</v>
      </c>
      <c r="E58" s="215">
        <v>44259</v>
      </c>
      <c r="F58" s="212">
        <f t="shared" ca="1" si="0"/>
        <v>4</v>
      </c>
      <c r="G58" s="213">
        <v>11</v>
      </c>
      <c r="H58" s="215">
        <v>44952</v>
      </c>
      <c r="I58" s="46">
        <v>13.6</v>
      </c>
      <c r="J58" s="46">
        <v>86</v>
      </c>
      <c r="K58" s="46">
        <v>49</v>
      </c>
      <c r="L58" s="46">
        <v>51</v>
      </c>
      <c r="M58" s="46">
        <v>53</v>
      </c>
      <c r="N58" s="46" t="s">
        <v>290</v>
      </c>
      <c r="O58" s="46" t="s">
        <v>291</v>
      </c>
      <c r="P58" s="46" t="s">
        <v>116</v>
      </c>
      <c r="Q58" s="46" t="s">
        <v>292</v>
      </c>
      <c r="R58" s="243">
        <v>44958</v>
      </c>
      <c r="S58" s="72" t="s">
        <v>365</v>
      </c>
    </row>
    <row r="59" spans="1:19" x14ac:dyDescent="0.3">
      <c r="A59" s="46" t="s">
        <v>136</v>
      </c>
      <c r="B59" s="46">
        <v>15818</v>
      </c>
      <c r="C59" s="210" t="s">
        <v>367</v>
      </c>
      <c r="D59" s="46" t="s">
        <v>254</v>
      </c>
      <c r="E59" s="215">
        <v>43154</v>
      </c>
      <c r="F59" s="212">
        <f t="shared" ca="1" si="0"/>
        <v>7</v>
      </c>
      <c r="G59" s="213">
        <v>11</v>
      </c>
      <c r="H59" s="215">
        <v>44952</v>
      </c>
      <c r="I59" s="46">
        <v>21.1</v>
      </c>
      <c r="J59" s="46">
        <v>109</v>
      </c>
      <c r="K59" s="46">
        <v>51</v>
      </c>
      <c r="L59" s="46">
        <v>59</v>
      </c>
      <c r="M59" s="46">
        <v>60</v>
      </c>
      <c r="N59" s="46" t="s">
        <v>290</v>
      </c>
      <c r="O59" s="46" t="s">
        <v>291</v>
      </c>
      <c r="P59" s="46" t="s">
        <v>116</v>
      </c>
      <c r="Q59" s="46" t="s">
        <v>292</v>
      </c>
      <c r="R59" s="243">
        <v>45292</v>
      </c>
      <c r="S59" s="72" t="s">
        <v>365</v>
      </c>
    </row>
    <row r="60" spans="1:19" x14ac:dyDescent="0.3">
      <c r="A60" s="46" t="s">
        <v>136</v>
      </c>
      <c r="B60" s="46">
        <v>15939</v>
      </c>
      <c r="C60" s="210" t="s">
        <v>368</v>
      </c>
      <c r="D60" s="46" t="s">
        <v>258</v>
      </c>
      <c r="E60" s="215">
        <v>43474</v>
      </c>
      <c r="F60" s="212">
        <f t="shared" ca="1" si="0"/>
        <v>6</v>
      </c>
      <c r="G60" s="213">
        <v>0</v>
      </c>
      <c r="H60" s="215">
        <v>44952</v>
      </c>
      <c r="I60" s="46">
        <v>16.600000000000001</v>
      </c>
      <c r="J60" s="46">
        <v>99</v>
      </c>
      <c r="K60" s="46">
        <v>50</v>
      </c>
      <c r="L60" s="46">
        <v>57</v>
      </c>
      <c r="M60" s="46">
        <v>55</v>
      </c>
      <c r="N60" s="46" t="s">
        <v>290</v>
      </c>
      <c r="O60" s="46" t="s">
        <v>291</v>
      </c>
      <c r="P60" s="46" t="s">
        <v>116</v>
      </c>
      <c r="Q60" s="46" t="s">
        <v>292</v>
      </c>
      <c r="R60" s="243">
        <v>45292</v>
      </c>
      <c r="S60" s="72" t="s">
        <v>365</v>
      </c>
    </row>
    <row r="61" spans="1:19" x14ac:dyDescent="0.3">
      <c r="A61" s="46" t="s">
        <v>136</v>
      </c>
      <c r="B61" s="46">
        <v>15945</v>
      </c>
      <c r="C61" s="210" t="s">
        <v>369</v>
      </c>
      <c r="D61" s="46" t="s">
        <v>258</v>
      </c>
      <c r="E61" s="215">
        <v>43522</v>
      </c>
      <c r="F61" s="212">
        <f t="shared" ca="1" si="0"/>
        <v>6</v>
      </c>
      <c r="G61" s="213">
        <v>11</v>
      </c>
      <c r="H61" s="215">
        <v>44952</v>
      </c>
      <c r="I61" s="46">
        <v>18</v>
      </c>
      <c r="J61" s="46">
        <v>98</v>
      </c>
      <c r="K61" s="46">
        <v>51</v>
      </c>
      <c r="L61" s="46">
        <v>59</v>
      </c>
      <c r="M61" s="46">
        <v>59</v>
      </c>
      <c r="N61" s="46" t="s">
        <v>290</v>
      </c>
      <c r="O61" s="46" t="s">
        <v>291</v>
      </c>
      <c r="P61" s="46" t="s">
        <v>116</v>
      </c>
      <c r="Q61" s="46" t="s">
        <v>292</v>
      </c>
      <c r="R61" s="243">
        <v>45292</v>
      </c>
      <c r="S61" s="72" t="s">
        <v>365</v>
      </c>
    </row>
    <row r="62" spans="1:19" x14ac:dyDescent="0.3">
      <c r="A62" s="46" t="s">
        <v>136</v>
      </c>
      <c r="B62" s="239" t="s">
        <v>370</v>
      </c>
      <c r="C62" s="210" t="s">
        <v>371</v>
      </c>
      <c r="D62" s="46" t="s">
        <v>254</v>
      </c>
      <c r="E62" s="215">
        <v>43748</v>
      </c>
      <c r="F62" s="212">
        <f t="shared" ca="1" si="0"/>
        <v>5</v>
      </c>
      <c r="G62" s="213">
        <v>2</v>
      </c>
      <c r="H62" s="215">
        <v>44952</v>
      </c>
      <c r="I62" s="46">
        <v>16.3</v>
      </c>
      <c r="J62" s="46">
        <v>96</v>
      </c>
      <c r="K62" s="46">
        <v>52</v>
      </c>
      <c r="L62" s="46">
        <v>54</v>
      </c>
      <c r="M62" s="46">
        <v>55</v>
      </c>
      <c r="N62" s="46" t="s">
        <v>290</v>
      </c>
      <c r="O62" s="46" t="s">
        <v>291</v>
      </c>
      <c r="P62" s="46" t="s">
        <v>116</v>
      </c>
      <c r="Q62" s="46" t="s">
        <v>292</v>
      </c>
      <c r="R62" s="243">
        <v>45292</v>
      </c>
      <c r="S62" s="72" t="s">
        <v>365</v>
      </c>
    </row>
    <row r="63" spans="1:19" x14ac:dyDescent="0.3">
      <c r="A63" s="46" t="s">
        <v>136</v>
      </c>
      <c r="B63" s="46">
        <v>16169</v>
      </c>
      <c r="C63" s="210" t="s">
        <v>372</v>
      </c>
      <c r="D63" s="46" t="s">
        <v>254</v>
      </c>
      <c r="E63" s="215">
        <v>44132</v>
      </c>
      <c r="F63" s="212">
        <f t="shared" ca="1" si="0"/>
        <v>4</v>
      </c>
      <c r="G63" s="213">
        <v>1</v>
      </c>
      <c r="H63" s="215">
        <v>44952</v>
      </c>
      <c r="I63" s="46">
        <v>14.1</v>
      </c>
      <c r="J63" s="46">
        <v>90.5</v>
      </c>
      <c r="K63" s="46">
        <v>49</v>
      </c>
      <c r="L63" s="46">
        <v>50</v>
      </c>
      <c r="M63" s="46">
        <v>50</v>
      </c>
      <c r="N63" s="46" t="s">
        <v>290</v>
      </c>
      <c r="O63" s="46" t="s">
        <v>291</v>
      </c>
      <c r="P63" s="46" t="s">
        <v>116</v>
      </c>
      <c r="Q63" s="46" t="s">
        <v>292</v>
      </c>
      <c r="R63" s="243">
        <v>45292</v>
      </c>
      <c r="S63" s="72" t="s">
        <v>365</v>
      </c>
    </row>
    <row r="64" spans="1:19" x14ac:dyDescent="0.3">
      <c r="A64" s="46" t="s">
        <v>136</v>
      </c>
      <c r="B64" s="46">
        <v>16063</v>
      </c>
      <c r="C64" s="210" t="s">
        <v>373</v>
      </c>
      <c r="D64" s="46" t="s">
        <v>258</v>
      </c>
      <c r="E64" s="215">
        <v>43837</v>
      </c>
      <c r="F64" s="212">
        <f t="shared" ca="1" si="0"/>
        <v>5</v>
      </c>
      <c r="G64" s="213">
        <v>0</v>
      </c>
      <c r="H64" s="215">
        <v>44952</v>
      </c>
      <c r="I64" s="46">
        <v>14.2</v>
      </c>
      <c r="J64" s="46">
        <v>91</v>
      </c>
      <c r="K64" s="46">
        <v>49</v>
      </c>
      <c r="L64" s="46">
        <v>54</v>
      </c>
      <c r="M64" s="46">
        <v>52</v>
      </c>
      <c r="N64" s="46" t="s">
        <v>290</v>
      </c>
      <c r="O64" s="46" t="s">
        <v>291</v>
      </c>
      <c r="P64" s="46" t="s">
        <v>116</v>
      </c>
      <c r="Q64" s="46" t="s">
        <v>292</v>
      </c>
      <c r="R64" s="243">
        <v>45292</v>
      </c>
      <c r="S64" s="72" t="s">
        <v>365</v>
      </c>
    </row>
    <row r="65" spans="1:19" x14ac:dyDescent="0.3">
      <c r="A65" s="46" t="s">
        <v>136</v>
      </c>
      <c r="B65" s="46">
        <v>16316</v>
      </c>
      <c r="C65" s="210" t="s">
        <v>374</v>
      </c>
      <c r="D65" s="46" t="s">
        <v>258</v>
      </c>
      <c r="E65" s="215">
        <v>44621</v>
      </c>
      <c r="F65" s="212">
        <f t="shared" ca="1" si="0"/>
        <v>3</v>
      </c>
      <c r="G65" s="114">
        <v>10</v>
      </c>
      <c r="H65" s="215">
        <v>44952</v>
      </c>
      <c r="I65" s="46">
        <v>7.8</v>
      </c>
      <c r="J65" s="46">
        <v>69.5</v>
      </c>
      <c r="K65" s="46">
        <v>43</v>
      </c>
      <c r="L65" s="46">
        <v>45</v>
      </c>
      <c r="M65" s="46">
        <v>46</v>
      </c>
      <c r="N65" s="46" t="s">
        <v>290</v>
      </c>
      <c r="O65" s="46" t="s">
        <v>291</v>
      </c>
      <c r="P65" s="46" t="s">
        <v>116</v>
      </c>
      <c r="Q65" s="46" t="s">
        <v>292</v>
      </c>
      <c r="R65" s="243">
        <v>44958</v>
      </c>
      <c r="S65" s="72" t="s">
        <v>365</v>
      </c>
    </row>
    <row r="66" spans="1:19" x14ac:dyDescent="0.3">
      <c r="A66" s="46" t="s">
        <v>136</v>
      </c>
      <c r="B66" s="46">
        <v>16110</v>
      </c>
      <c r="C66" s="210" t="s">
        <v>375</v>
      </c>
      <c r="D66" s="46" t="s">
        <v>254</v>
      </c>
      <c r="E66" s="215">
        <v>43927</v>
      </c>
      <c r="F66" s="212">
        <f t="shared" ca="1" si="0"/>
        <v>5</v>
      </c>
      <c r="G66" s="114">
        <v>9</v>
      </c>
      <c r="H66" s="215">
        <v>44952</v>
      </c>
      <c r="I66" s="46"/>
      <c r="J66" s="46"/>
      <c r="K66" s="46"/>
      <c r="L66" s="46"/>
      <c r="M66" s="46"/>
      <c r="N66" s="46"/>
      <c r="O66" s="46"/>
      <c r="P66" s="46" t="s">
        <v>305</v>
      </c>
      <c r="Q66" s="46" t="s">
        <v>292</v>
      </c>
      <c r="R66" s="243">
        <v>44958</v>
      </c>
      <c r="S66" s="72" t="s">
        <v>365</v>
      </c>
    </row>
    <row r="67" spans="1:19" x14ac:dyDescent="0.3">
      <c r="A67" s="234" t="s">
        <v>136</v>
      </c>
      <c r="B67" s="234">
        <v>16223</v>
      </c>
      <c r="C67" s="208" t="s">
        <v>376</v>
      </c>
      <c r="D67" s="234" t="s">
        <v>258</v>
      </c>
      <c r="E67" s="235">
        <v>44362</v>
      </c>
      <c r="F67" s="212">
        <f t="shared" ca="1" si="0"/>
        <v>3</v>
      </c>
      <c r="G67" s="234">
        <v>7</v>
      </c>
      <c r="H67" s="237">
        <v>44952</v>
      </c>
      <c r="I67" s="234">
        <v>10.9</v>
      </c>
      <c r="J67" s="234">
        <v>77.5</v>
      </c>
      <c r="K67" s="234">
        <v>48</v>
      </c>
      <c r="L67" s="234">
        <v>50</v>
      </c>
      <c r="M67" s="234">
        <v>53</v>
      </c>
      <c r="N67" s="236" t="s">
        <v>290</v>
      </c>
      <c r="O67" s="236" t="s">
        <v>291</v>
      </c>
      <c r="P67" s="236" t="s">
        <v>116</v>
      </c>
      <c r="Q67" s="234" t="s">
        <v>292</v>
      </c>
      <c r="R67" s="244">
        <v>44958</v>
      </c>
      <c r="S67" s="72" t="s">
        <v>365</v>
      </c>
    </row>
    <row r="68" spans="1:19" x14ac:dyDescent="0.3">
      <c r="A68" s="234" t="s">
        <v>136</v>
      </c>
      <c r="B68" s="46">
        <v>16246</v>
      </c>
      <c r="C68" s="210" t="s">
        <v>377</v>
      </c>
      <c r="D68" s="46" t="s">
        <v>254</v>
      </c>
      <c r="E68" s="215">
        <v>44417</v>
      </c>
      <c r="F68" s="212">
        <f t="shared" ca="1" si="0"/>
        <v>3</v>
      </c>
      <c r="G68" s="113">
        <v>5</v>
      </c>
      <c r="H68" s="235">
        <v>44952</v>
      </c>
      <c r="I68" s="240">
        <v>12.3</v>
      </c>
      <c r="J68" s="234">
        <v>79.5</v>
      </c>
      <c r="K68" s="234">
        <v>47</v>
      </c>
      <c r="L68" s="234">
        <v>54</v>
      </c>
      <c r="M68" s="234">
        <v>53</v>
      </c>
      <c r="N68" s="236" t="s">
        <v>290</v>
      </c>
      <c r="O68" s="234" t="s">
        <v>291</v>
      </c>
      <c r="P68" s="236" t="s">
        <v>116</v>
      </c>
      <c r="Q68" s="234" t="s">
        <v>292</v>
      </c>
      <c r="R68" s="244">
        <v>44958</v>
      </c>
      <c r="S68" s="72" t="s">
        <v>365</v>
      </c>
    </row>
    <row r="69" spans="1:19" x14ac:dyDescent="0.3">
      <c r="A69" s="234" t="s">
        <v>136</v>
      </c>
      <c r="B69" s="46">
        <v>16224</v>
      </c>
      <c r="C69" s="210" t="s">
        <v>378</v>
      </c>
      <c r="D69" s="46" t="s">
        <v>258</v>
      </c>
      <c r="E69" s="237">
        <v>44359</v>
      </c>
      <c r="F69" s="212">
        <f t="shared" ca="1" si="0"/>
        <v>3</v>
      </c>
      <c r="G69" s="234">
        <v>7</v>
      </c>
      <c r="H69" s="237">
        <v>44952</v>
      </c>
      <c r="I69" s="234">
        <v>12.8</v>
      </c>
      <c r="J69" s="234">
        <v>84</v>
      </c>
      <c r="K69" s="234">
        <v>48</v>
      </c>
      <c r="L69" s="234">
        <v>53</v>
      </c>
      <c r="M69" s="234">
        <v>51</v>
      </c>
      <c r="N69" s="236" t="s">
        <v>290</v>
      </c>
      <c r="O69" s="236" t="s">
        <v>291</v>
      </c>
      <c r="P69" s="236" t="s">
        <v>116</v>
      </c>
      <c r="Q69" s="234" t="s">
        <v>292</v>
      </c>
      <c r="R69" s="244">
        <v>44958</v>
      </c>
      <c r="S69" s="72" t="s">
        <v>365</v>
      </c>
    </row>
    <row r="70" spans="1:19" x14ac:dyDescent="0.3">
      <c r="A70" s="234" t="s">
        <v>136</v>
      </c>
      <c r="B70" s="234">
        <v>16261</v>
      </c>
      <c r="C70" s="208" t="s">
        <v>379</v>
      </c>
      <c r="D70" s="234" t="s">
        <v>258</v>
      </c>
      <c r="E70" s="235">
        <v>44468</v>
      </c>
      <c r="F70" s="212">
        <f t="shared" ca="1" si="0"/>
        <v>3</v>
      </c>
      <c r="G70" s="234">
        <v>3</v>
      </c>
      <c r="H70" s="237">
        <v>44952</v>
      </c>
      <c r="I70" s="234">
        <v>10.9</v>
      </c>
      <c r="J70" s="234">
        <v>78</v>
      </c>
      <c r="K70" s="234">
        <v>48</v>
      </c>
      <c r="L70" s="234">
        <v>50</v>
      </c>
      <c r="M70" s="234">
        <v>47</v>
      </c>
      <c r="N70" s="236" t="s">
        <v>290</v>
      </c>
      <c r="O70" s="236" t="s">
        <v>291</v>
      </c>
      <c r="P70" s="236" t="s">
        <v>116</v>
      </c>
      <c r="Q70" s="234" t="s">
        <v>292</v>
      </c>
      <c r="R70" s="244">
        <v>44958</v>
      </c>
      <c r="S70" s="72" t="s">
        <v>365</v>
      </c>
    </row>
    <row r="71" spans="1:19" x14ac:dyDescent="0.3">
      <c r="A71" s="234" t="s">
        <v>136</v>
      </c>
      <c r="B71" s="234">
        <v>16277</v>
      </c>
      <c r="C71" s="208" t="s">
        <v>380</v>
      </c>
      <c r="D71" s="234" t="s">
        <v>258</v>
      </c>
      <c r="E71" s="235">
        <v>44497</v>
      </c>
      <c r="F71" s="212">
        <f t="shared" ca="1" si="0"/>
        <v>3</v>
      </c>
      <c r="G71" s="113">
        <v>3</v>
      </c>
      <c r="H71" s="235">
        <v>45011</v>
      </c>
      <c r="I71" s="240">
        <v>9.1</v>
      </c>
      <c r="J71" s="234">
        <v>77</v>
      </c>
      <c r="K71" s="234">
        <v>49</v>
      </c>
      <c r="L71" s="234">
        <v>47</v>
      </c>
      <c r="M71" s="234">
        <v>48</v>
      </c>
      <c r="N71" s="234" t="s">
        <v>290</v>
      </c>
      <c r="O71" s="234" t="s">
        <v>291</v>
      </c>
      <c r="P71" s="236" t="s">
        <v>116</v>
      </c>
      <c r="Q71" s="236" t="s">
        <v>292</v>
      </c>
      <c r="R71" s="294">
        <v>44958</v>
      </c>
      <c r="S71" s="72" t="s">
        <v>365</v>
      </c>
    </row>
    <row r="72" spans="1:19" hidden="1" x14ac:dyDescent="0.3">
      <c r="A72" s="234" t="s">
        <v>111</v>
      </c>
      <c r="B72" s="236">
        <v>15824</v>
      </c>
      <c r="C72" s="209" t="s">
        <v>381</v>
      </c>
      <c r="D72" s="236" t="s">
        <v>254</v>
      </c>
      <c r="E72" s="235">
        <v>43078</v>
      </c>
      <c r="F72" s="212">
        <f t="shared" ca="1" si="0"/>
        <v>7</v>
      </c>
      <c r="G72" s="113">
        <v>0</v>
      </c>
      <c r="H72" s="235">
        <v>44955</v>
      </c>
      <c r="I72" s="240">
        <v>18.100000000000001</v>
      </c>
      <c r="J72" s="234">
        <v>107</v>
      </c>
      <c r="K72" s="234">
        <v>52</v>
      </c>
      <c r="L72" s="234">
        <v>57</v>
      </c>
      <c r="M72" s="234">
        <v>57</v>
      </c>
      <c r="N72" s="234" t="s">
        <v>290</v>
      </c>
      <c r="O72" s="234" t="s">
        <v>291</v>
      </c>
      <c r="P72" s="236" t="s">
        <v>116</v>
      </c>
      <c r="Q72" s="236" t="s">
        <v>292</v>
      </c>
      <c r="R72" s="295" t="s">
        <v>333</v>
      </c>
      <c r="S72" s="236" t="s">
        <v>382</v>
      </c>
    </row>
    <row r="73" spans="1:19" ht="28.8" hidden="1" x14ac:dyDescent="0.3">
      <c r="A73" s="234" t="s">
        <v>111</v>
      </c>
      <c r="B73" s="236">
        <v>15826</v>
      </c>
      <c r="C73" s="209" t="s">
        <v>383</v>
      </c>
      <c r="D73" s="236" t="s">
        <v>254</v>
      </c>
      <c r="E73" s="237">
        <v>43161</v>
      </c>
      <c r="F73" s="212">
        <f t="shared" ca="1" si="0"/>
        <v>7</v>
      </c>
      <c r="G73" s="113">
        <v>8</v>
      </c>
      <c r="H73" s="235">
        <v>44955</v>
      </c>
      <c r="I73" s="240"/>
      <c r="J73" s="234"/>
      <c r="K73" s="234"/>
      <c r="L73" s="234"/>
      <c r="M73" s="234"/>
      <c r="N73" s="234"/>
      <c r="O73" s="234"/>
      <c r="P73" s="236" t="s">
        <v>384</v>
      </c>
      <c r="Q73" s="234" t="s">
        <v>292</v>
      </c>
      <c r="R73" s="296"/>
      <c r="S73" s="236" t="s">
        <v>382</v>
      </c>
    </row>
    <row r="74" spans="1:19" hidden="1" x14ac:dyDescent="0.3">
      <c r="A74" s="46" t="s">
        <v>111</v>
      </c>
      <c r="B74" s="46">
        <v>15871</v>
      </c>
      <c r="C74" s="210" t="s">
        <v>385</v>
      </c>
      <c r="D74" s="46" t="s">
        <v>254</v>
      </c>
      <c r="E74" s="215">
        <v>43215</v>
      </c>
      <c r="F74" s="212">
        <f t="shared" ref="F74:F137" ca="1" si="1">DATEDIF(E74,TODAY(),"Y")</f>
        <v>7</v>
      </c>
      <c r="G74" s="46">
        <v>7</v>
      </c>
      <c r="H74" s="215">
        <v>44955</v>
      </c>
      <c r="I74" s="46">
        <v>18.899999999999999</v>
      </c>
      <c r="J74" s="46">
        <v>106</v>
      </c>
      <c r="K74" s="46">
        <v>50</v>
      </c>
      <c r="L74" s="46">
        <v>59</v>
      </c>
      <c r="M74" s="46">
        <v>56</v>
      </c>
      <c r="N74" s="46" t="s">
        <v>290</v>
      </c>
      <c r="O74" s="46" t="s">
        <v>291</v>
      </c>
      <c r="P74" s="46" t="s">
        <v>317</v>
      </c>
      <c r="Q74" s="46" t="s">
        <v>310</v>
      </c>
      <c r="R74" s="239" t="s">
        <v>386</v>
      </c>
      <c r="S74" s="236" t="s">
        <v>382</v>
      </c>
    </row>
    <row r="75" spans="1:19" hidden="1" x14ac:dyDescent="0.3">
      <c r="A75" s="234" t="s">
        <v>111</v>
      </c>
      <c r="B75" s="236">
        <v>15869</v>
      </c>
      <c r="C75" s="209" t="s">
        <v>387</v>
      </c>
      <c r="D75" s="236" t="s">
        <v>254</v>
      </c>
      <c r="E75" s="237">
        <v>43241</v>
      </c>
      <c r="F75" s="212">
        <f t="shared" ca="1" si="1"/>
        <v>6</v>
      </c>
      <c r="G75" s="113">
        <v>8</v>
      </c>
      <c r="H75" s="235">
        <v>44955</v>
      </c>
      <c r="I75" s="240">
        <v>16.3</v>
      </c>
      <c r="J75" s="234">
        <v>99.5</v>
      </c>
      <c r="K75" s="234">
        <v>50</v>
      </c>
      <c r="L75" s="234">
        <v>58.5</v>
      </c>
      <c r="M75" s="234">
        <v>58.5</v>
      </c>
      <c r="N75" s="236" t="s">
        <v>290</v>
      </c>
      <c r="O75" s="234" t="s">
        <v>291</v>
      </c>
      <c r="P75" s="236" t="s">
        <v>317</v>
      </c>
      <c r="Q75" s="234" t="s">
        <v>310</v>
      </c>
      <c r="R75" s="296" t="s">
        <v>386</v>
      </c>
      <c r="S75" s="236" t="s">
        <v>382</v>
      </c>
    </row>
    <row r="76" spans="1:19" hidden="1" x14ac:dyDescent="0.3">
      <c r="A76" s="234" t="s">
        <v>111</v>
      </c>
      <c r="B76" s="236">
        <v>15891</v>
      </c>
      <c r="C76" s="209" t="s">
        <v>388</v>
      </c>
      <c r="D76" s="236" t="s">
        <v>254</v>
      </c>
      <c r="E76" s="237">
        <v>43318</v>
      </c>
      <c r="F76" s="212">
        <f t="shared" ca="1" si="1"/>
        <v>6</v>
      </c>
      <c r="G76" s="113">
        <v>5</v>
      </c>
      <c r="H76" s="235">
        <v>44955</v>
      </c>
      <c r="I76" s="234">
        <v>14.3</v>
      </c>
      <c r="J76" s="234">
        <v>93.5</v>
      </c>
      <c r="K76" s="234">
        <v>49</v>
      </c>
      <c r="L76" s="234">
        <v>55</v>
      </c>
      <c r="M76" s="234">
        <v>54</v>
      </c>
      <c r="N76" s="236" t="s">
        <v>290</v>
      </c>
      <c r="O76" s="234" t="s">
        <v>291</v>
      </c>
      <c r="P76" s="234" t="s">
        <v>317</v>
      </c>
      <c r="Q76" s="234" t="s">
        <v>310</v>
      </c>
      <c r="R76" s="296" t="s">
        <v>386</v>
      </c>
      <c r="S76" s="236" t="s">
        <v>382</v>
      </c>
    </row>
    <row r="77" spans="1:19" hidden="1" x14ac:dyDescent="0.3">
      <c r="A77" s="234" t="s">
        <v>111</v>
      </c>
      <c r="B77" s="236">
        <v>15870</v>
      </c>
      <c r="C77" s="209" t="s">
        <v>389</v>
      </c>
      <c r="D77" s="236" t="s">
        <v>254</v>
      </c>
      <c r="E77" s="237">
        <v>43227</v>
      </c>
      <c r="F77" s="212">
        <f t="shared" ca="1" si="1"/>
        <v>7</v>
      </c>
      <c r="G77" s="113">
        <v>8</v>
      </c>
      <c r="H77" s="235">
        <v>44955</v>
      </c>
      <c r="I77" s="234">
        <v>17.3</v>
      </c>
      <c r="J77" s="234">
        <v>103.5</v>
      </c>
      <c r="K77" s="234">
        <v>51</v>
      </c>
      <c r="L77" s="234">
        <v>56</v>
      </c>
      <c r="M77" s="234">
        <v>58.5</v>
      </c>
      <c r="N77" s="236" t="s">
        <v>290</v>
      </c>
      <c r="O77" s="234" t="s">
        <v>291</v>
      </c>
      <c r="P77" s="236" t="s">
        <v>116</v>
      </c>
      <c r="Q77" s="234" t="s">
        <v>292</v>
      </c>
      <c r="R77" s="296" t="s">
        <v>386</v>
      </c>
      <c r="S77" s="236" t="s">
        <v>382</v>
      </c>
    </row>
    <row r="78" spans="1:19" hidden="1" x14ac:dyDescent="0.3">
      <c r="A78" s="234" t="s">
        <v>111</v>
      </c>
      <c r="B78" s="236">
        <v>15890</v>
      </c>
      <c r="C78" s="209" t="s">
        <v>390</v>
      </c>
      <c r="D78" s="236" t="s">
        <v>254</v>
      </c>
      <c r="E78" s="237">
        <v>43325</v>
      </c>
      <c r="F78" s="212">
        <f t="shared" ca="1" si="1"/>
        <v>6</v>
      </c>
      <c r="G78" s="113">
        <v>5</v>
      </c>
      <c r="H78" s="235">
        <v>44955</v>
      </c>
      <c r="I78" s="241">
        <v>17.8</v>
      </c>
      <c r="J78" s="234">
        <v>102</v>
      </c>
      <c r="K78" s="234">
        <v>48</v>
      </c>
      <c r="L78" s="234">
        <v>52</v>
      </c>
      <c r="M78" s="234">
        <v>51</v>
      </c>
      <c r="N78" s="234" t="s">
        <v>290</v>
      </c>
      <c r="O78" s="234" t="s">
        <v>291</v>
      </c>
      <c r="P78" s="236" t="s">
        <v>317</v>
      </c>
      <c r="Q78" s="234" t="s">
        <v>292</v>
      </c>
      <c r="R78" s="296" t="s">
        <v>386</v>
      </c>
      <c r="S78" s="236" t="s">
        <v>382</v>
      </c>
    </row>
    <row r="79" spans="1:19" hidden="1" x14ac:dyDescent="0.3">
      <c r="A79" s="234" t="s">
        <v>111</v>
      </c>
      <c r="B79" s="234">
        <v>15882</v>
      </c>
      <c r="C79" s="208" t="s">
        <v>391</v>
      </c>
      <c r="D79" s="234" t="s">
        <v>258</v>
      </c>
      <c r="E79" s="235">
        <v>43330</v>
      </c>
      <c r="F79" s="212">
        <f t="shared" ca="1" si="1"/>
        <v>6</v>
      </c>
      <c r="G79" s="114">
        <v>5</v>
      </c>
      <c r="H79" s="235">
        <v>44955</v>
      </c>
      <c r="I79" s="234">
        <v>14.7</v>
      </c>
      <c r="J79" s="234">
        <v>97.5</v>
      </c>
      <c r="K79" s="234">
        <v>48.5</v>
      </c>
      <c r="L79" s="234">
        <v>55</v>
      </c>
      <c r="M79" s="234">
        <v>51.5</v>
      </c>
      <c r="N79" s="234" t="s">
        <v>290</v>
      </c>
      <c r="O79" s="234" t="s">
        <v>291</v>
      </c>
      <c r="P79" s="234" t="s">
        <v>116</v>
      </c>
      <c r="Q79" s="234" t="s">
        <v>292</v>
      </c>
      <c r="R79" s="296" t="s">
        <v>386</v>
      </c>
      <c r="S79" s="236" t="s">
        <v>382</v>
      </c>
    </row>
    <row r="80" spans="1:19" hidden="1" x14ac:dyDescent="0.3">
      <c r="A80" s="234" t="s">
        <v>111</v>
      </c>
      <c r="B80" s="234">
        <v>15954</v>
      </c>
      <c r="C80" s="208" t="s">
        <v>392</v>
      </c>
      <c r="D80" s="234" t="s">
        <v>258</v>
      </c>
      <c r="E80" s="235">
        <v>43528</v>
      </c>
      <c r="F80" s="212">
        <f t="shared" ca="1" si="1"/>
        <v>6</v>
      </c>
      <c r="G80" s="114">
        <v>8</v>
      </c>
      <c r="H80" s="235">
        <v>44955</v>
      </c>
      <c r="I80" s="234"/>
      <c r="J80" s="234"/>
      <c r="K80" s="234"/>
      <c r="L80" s="234"/>
      <c r="M80" s="234"/>
      <c r="N80" s="234"/>
      <c r="O80" s="234"/>
      <c r="P80" s="234" t="s">
        <v>305</v>
      </c>
      <c r="Q80" s="234" t="s">
        <v>292</v>
      </c>
      <c r="R80" s="296" t="s">
        <v>386</v>
      </c>
      <c r="S80" s="236" t="s">
        <v>382</v>
      </c>
    </row>
    <row r="81" spans="1:19" hidden="1" x14ac:dyDescent="0.3">
      <c r="A81" s="234" t="s">
        <v>111</v>
      </c>
      <c r="B81" s="234">
        <v>15963</v>
      </c>
      <c r="C81" s="208" t="s">
        <v>393</v>
      </c>
      <c r="D81" s="234" t="s">
        <v>258</v>
      </c>
      <c r="E81" s="235">
        <v>43577</v>
      </c>
      <c r="F81" s="212">
        <f t="shared" ca="1" si="1"/>
        <v>6</v>
      </c>
      <c r="G81" s="114">
        <v>9</v>
      </c>
      <c r="H81" s="235">
        <v>44955</v>
      </c>
      <c r="I81" s="234">
        <v>12.5</v>
      </c>
      <c r="J81" s="234">
        <v>96</v>
      </c>
      <c r="K81" s="234">
        <v>49</v>
      </c>
      <c r="L81" s="234">
        <v>53.5</v>
      </c>
      <c r="M81" s="234">
        <v>53</v>
      </c>
      <c r="N81" s="234" t="s">
        <v>290</v>
      </c>
      <c r="O81" s="234" t="s">
        <v>291</v>
      </c>
      <c r="P81" s="234" t="s">
        <v>116</v>
      </c>
      <c r="Q81" s="234" t="s">
        <v>292</v>
      </c>
      <c r="R81" s="296" t="s">
        <v>386</v>
      </c>
      <c r="S81" s="236" t="s">
        <v>382</v>
      </c>
    </row>
    <row r="82" spans="1:19" hidden="1" x14ac:dyDescent="0.3">
      <c r="A82" s="234" t="s">
        <v>111</v>
      </c>
      <c r="B82" s="234">
        <v>16007</v>
      </c>
      <c r="C82" s="208" t="s">
        <v>394</v>
      </c>
      <c r="D82" s="234" t="s">
        <v>258</v>
      </c>
      <c r="E82" s="235">
        <v>43618</v>
      </c>
      <c r="F82" s="212">
        <f t="shared" ca="1" si="1"/>
        <v>5</v>
      </c>
      <c r="G82" s="114">
        <v>7</v>
      </c>
      <c r="H82" s="235">
        <v>44955</v>
      </c>
      <c r="I82" s="234">
        <v>16.600000000000001</v>
      </c>
      <c r="J82" s="234">
        <v>98.5</v>
      </c>
      <c r="K82" s="234">
        <v>50</v>
      </c>
      <c r="L82" s="234">
        <v>54</v>
      </c>
      <c r="M82" s="234">
        <v>55</v>
      </c>
      <c r="N82" s="234" t="s">
        <v>290</v>
      </c>
      <c r="O82" s="234" t="s">
        <v>291</v>
      </c>
      <c r="P82" s="234" t="s">
        <v>116</v>
      </c>
      <c r="Q82" s="234" t="s">
        <v>292</v>
      </c>
      <c r="R82" s="296" t="s">
        <v>386</v>
      </c>
      <c r="S82" s="236" t="s">
        <v>382</v>
      </c>
    </row>
    <row r="83" spans="1:19" hidden="1" x14ac:dyDescent="0.3">
      <c r="A83" s="234" t="s">
        <v>111</v>
      </c>
      <c r="B83" s="234">
        <v>16017</v>
      </c>
      <c r="C83" s="208" t="s">
        <v>395</v>
      </c>
      <c r="D83" s="234" t="s">
        <v>254</v>
      </c>
      <c r="E83" s="235">
        <v>43628</v>
      </c>
      <c r="F83" s="212">
        <f t="shared" ca="1" si="1"/>
        <v>5</v>
      </c>
      <c r="G83" s="114">
        <v>7</v>
      </c>
      <c r="H83" s="235">
        <v>44955</v>
      </c>
      <c r="I83" s="234">
        <v>14.2</v>
      </c>
      <c r="J83" s="234">
        <v>97</v>
      </c>
      <c r="K83" s="234">
        <v>49.5</v>
      </c>
      <c r="L83" s="234">
        <v>56.5</v>
      </c>
      <c r="M83" s="234">
        <v>56</v>
      </c>
      <c r="N83" s="234" t="s">
        <v>290</v>
      </c>
      <c r="O83" s="234" t="s">
        <v>291</v>
      </c>
      <c r="P83" s="234" t="s">
        <v>317</v>
      </c>
      <c r="Q83" s="234" t="s">
        <v>310</v>
      </c>
      <c r="R83" s="296" t="s">
        <v>386</v>
      </c>
      <c r="S83" s="236" t="s">
        <v>382</v>
      </c>
    </row>
    <row r="84" spans="1:19" hidden="1" x14ac:dyDescent="0.3">
      <c r="A84" s="234" t="s">
        <v>111</v>
      </c>
      <c r="B84" s="234">
        <v>15998</v>
      </c>
      <c r="C84" s="208" t="s">
        <v>396</v>
      </c>
      <c r="D84" s="234" t="s">
        <v>254</v>
      </c>
      <c r="E84" s="235">
        <v>43660</v>
      </c>
      <c r="F84" s="212">
        <f t="shared" ca="1" si="1"/>
        <v>5</v>
      </c>
      <c r="G84" s="114">
        <v>6</v>
      </c>
      <c r="H84" s="235">
        <v>44955</v>
      </c>
      <c r="I84" s="234">
        <v>12.6</v>
      </c>
      <c r="J84" s="234">
        <v>92.5</v>
      </c>
      <c r="K84" s="234">
        <v>48</v>
      </c>
      <c r="L84" s="234">
        <v>52</v>
      </c>
      <c r="M84" s="234">
        <v>52.5</v>
      </c>
      <c r="N84" s="234" t="s">
        <v>290</v>
      </c>
      <c r="O84" s="234" t="s">
        <v>291</v>
      </c>
      <c r="P84" s="234" t="s">
        <v>116</v>
      </c>
      <c r="Q84" s="234" t="s">
        <v>292</v>
      </c>
      <c r="R84" s="296" t="s">
        <v>386</v>
      </c>
      <c r="S84" s="236" t="s">
        <v>382</v>
      </c>
    </row>
    <row r="85" spans="1:19" hidden="1" x14ac:dyDescent="0.3">
      <c r="A85" s="234" t="s">
        <v>111</v>
      </c>
      <c r="B85" s="234">
        <v>16011</v>
      </c>
      <c r="C85" s="208" t="s">
        <v>397</v>
      </c>
      <c r="D85" s="234" t="s">
        <v>258</v>
      </c>
      <c r="E85" s="235">
        <v>43704</v>
      </c>
      <c r="F85" s="212">
        <f t="shared" ca="1" si="1"/>
        <v>5</v>
      </c>
      <c r="G85" s="114">
        <v>5</v>
      </c>
      <c r="H85" s="235">
        <v>44955</v>
      </c>
      <c r="I85" s="234">
        <v>12.6</v>
      </c>
      <c r="J85" s="234">
        <v>92</v>
      </c>
      <c r="K85" s="234">
        <v>50</v>
      </c>
      <c r="L85" s="234">
        <v>53</v>
      </c>
      <c r="M85" s="234">
        <v>50</v>
      </c>
      <c r="N85" s="234" t="s">
        <v>290</v>
      </c>
      <c r="O85" s="234" t="s">
        <v>291</v>
      </c>
      <c r="P85" s="234" t="s">
        <v>116</v>
      </c>
      <c r="Q85" s="234" t="s">
        <v>292</v>
      </c>
      <c r="R85" s="296" t="s">
        <v>386</v>
      </c>
      <c r="S85" s="236" t="s">
        <v>382</v>
      </c>
    </row>
    <row r="86" spans="1:19" hidden="1" x14ac:dyDescent="0.3">
      <c r="A86" s="234" t="s">
        <v>111</v>
      </c>
      <c r="B86" s="234">
        <v>16016</v>
      </c>
      <c r="C86" s="208" t="s">
        <v>398</v>
      </c>
      <c r="D86" s="234" t="s">
        <v>254</v>
      </c>
      <c r="E86" s="235">
        <v>43747</v>
      </c>
      <c r="F86" s="212">
        <f t="shared" ca="1" si="1"/>
        <v>5</v>
      </c>
      <c r="G86" s="114">
        <v>3</v>
      </c>
      <c r="H86" s="235">
        <v>44955</v>
      </c>
      <c r="I86" s="234">
        <v>13.5</v>
      </c>
      <c r="J86" s="234">
        <v>94</v>
      </c>
      <c r="K86" s="234">
        <v>49</v>
      </c>
      <c r="L86" s="234">
        <v>53</v>
      </c>
      <c r="M86" s="234">
        <v>49</v>
      </c>
      <c r="N86" s="234" t="s">
        <v>290</v>
      </c>
      <c r="O86" s="234" t="s">
        <v>291</v>
      </c>
      <c r="P86" s="234" t="s">
        <v>116</v>
      </c>
      <c r="Q86" s="234" t="s">
        <v>292</v>
      </c>
      <c r="R86" s="296" t="s">
        <v>386</v>
      </c>
      <c r="S86" s="236" t="s">
        <v>382</v>
      </c>
    </row>
    <row r="87" spans="1:19" hidden="1" x14ac:dyDescent="0.3">
      <c r="A87" s="234" t="s">
        <v>111</v>
      </c>
      <c r="B87" s="234">
        <v>16024</v>
      </c>
      <c r="C87" s="208" t="s">
        <v>399</v>
      </c>
      <c r="D87" s="234" t="s">
        <v>258</v>
      </c>
      <c r="E87" s="235">
        <v>43769</v>
      </c>
      <c r="F87" s="212">
        <f t="shared" ca="1" si="1"/>
        <v>5</v>
      </c>
      <c r="G87" s="114">
        <v>2</v>
      </c>
      <c r="H87" s="235">
        <v>44955</v>
      </c>
      <c r="I87" s="234">
        <v>16.8</v>
      </c>
      <c r="J87" s="234">
        <v>97</v>
      </c>
      <c r="K87" s="234">
        <v>50</v>
      </c>
      <c r="L87" s="234">
        <v>60</v>
      </c>
      <c r="M87" s="234">
        <v>57</v>
      </c>
      <c r="N87" s="234" t="s">
        <v>290</v>
      </c>
      <c r="O87" s="234" t="s">
        <v>291</v>
      </c>
      <c r="P87" s="234" t="s">
        <v>317</v>
      </c>
      <c r="Q87" s="234" t="s">
        <v>310</v>
      </c>
      <c r="R87" s="296" t="s">
        <v>386</v>
      </c>
      <c r="S87" s="236" t="s">
        <v>382</v>
      </c>
    </row>
    <row r="88" spans="1:19" hidden="1" x14ac:dyDescent="0.3">
      <c r="A88" s="234" t="s">
        <v>111</v>
      </c>
      <c r="B88" s="234">
        <v>16048</v>
      </c>
      <c r="C88" s="208" t="s">
        <v>400</v>
      </c>
      <c r="D88" s="234" t="s">
        <v>254</v>
      </c>
      <c r="E88" s="235">
        <v>43793</v>
      </c>
      <c r="F88" s="212">
        <f t="shared" ca="1" si="1"/>
        <v>5</v>
      </c>
      <c r="G88" s="114">
        <v>2</v>
      </c>
      <c r="H88" s="235">
        <v>44955</v>
      </c>
      <c r="I88" s="234">
        <v>14.6</v>
      </c>
      <c r="J88" s="234">
        <v>93</v>
      </c>
      <c r="K88" s="234">
        <v>48</v>
      </c>
      <c r="L88" s="234">
        <v>51</v>
      </c>
      <c r="M88" s="234">
        <v>52.5</v>
      </c>
      <c r="N88" s="234" t="s">
        <v>290</v>
      </c>
      <c r="O88" s="234" t="s">
        <v>291</v>
      </c>
      <c r="P88" s="234" t="s">
        <v>116</v>
      </c>
      <c r="Q88" s="234" t="s">
        <v>292</v>
      </c>
      <c r="R88" s="296" t="s">
        <v>386</v>
      </c>
      <c r="S88" s="236" t="s">
        <v>382</v>
      </c>
    </row>
    <row r="89" spans="1:19" hidden="1" x14ac:dyDescent="0.3">
      <c r="A89" s="234" t="s">
        <v>111</v>
      </c>
      <c r="B89" s="234">
        <v>16050</v>
      </c>
      <c r="C89" s="208" t="s">
        <v>401</v>
      </c>
      <c r="D89" s="234" t="s">
        <v>258</v>
      </c>
      <c r="E89" s="235">
        <v>43800</v>
      </c>
      <c r="F89" s="212">
        <f t="shared" ca="1" si="1"/>
        <v>5</v>
      </c>
      <c r="G89" s="114">
        <v>0</v>
      </c>
      <c r="H89" s="235">
        <v>44955</v>
      </c>
      <c r="I89" s="234">
        <v>13.7</v>
      </c>
      <c r="J89" s="234">
        <v>88.5</v>
      </c>
      <c r="K89" s="234">
        <v>47.5</v>
      </c>
      <c r="L89" s="234">
        <v>53</v>
      </c>
      <c r="M89" s="234">
        <v>53</v>
      </c>
      <c r="N89" s="234" t="s">
        <v>290</v>
      </c>
      <c r="O89" s="234" t="s">
        <v>291</v>
      </c>
      <c r="P89" s="234" t="s">
        <v>116</v>
      </c>
      <c r="Q89" s="234" t="s">
        <v>292</v>
      </c>
      <c r="R89" s="296" t="s">
        <v>386</v>
      </c>
      <c r="S89" s="236" t="s">
        <v>382</v>
      </c>
    </row>
    <row r="90" spans="1:19" hidden="1" x14ac:dyDescent="0.3">
      <c r="A90" s="234" t="s">
        <v>111</v>
      </c>
      <c r="B90" s="234">
        <v>16077</v>
      </c>
      <c r="C90" s="208" t="s">
        <v>402</v>
      </c>
      <c r="D90" s="234" t="s">
        <v>258</v>
      </c>
      <c r="E90" s="235">
        <v>43885</v>
      </c>
      <c r="F90" s="212">
        <f t="shared" ca="1" si="1"/>
        <v>5</v>
      </c>
      <c r="G90" s="114">
        <v>11</v>
      </c>
      <c r="H90" s="235">
        <v>44955</v>
      </c>
      <c r="I90" s="234"/>
      <c r="J90" s="234"/>
      <c r="K90" s="234"/>
      <c r="L90" s="234"/>
      <c r="M90" s="234"/>
      <c r="N90" s="234"/>
      <c r="O90" s="234"/>
      <c r="P90" s="234" t="s">
        <v>305</v>
      </c>
      <c r="Q90" s="234" t="s">
        <v>292</v>
      </c>
      <c r="R90" s="296" t="s">
        <v>403</v>
      </c>
      <c r="S90" s="236" t="s">
        <v>382</v>
      </c>
    </row>
    <row r="91" spans="1:19" hidden="1" x14ac:dyDescent="0.3">
      <c r="A91" s="234" t="s">
        <v>111</v>
      </c>
      <c r="B91" s="234">
        <v>16078</v>
      </c>
      <c r="C91" s="208" t="s">
        <v>404</v>
      </c>
      <c r="D91" s="234" t="s">
        <v>254</v>
      </c>
      <c r="E91" s="235">
        <v>43895</v>
      </c>
      <c r="F91" s="212">
        <f t="shared" ca="1" si="1"/>
        <v>5</v>
      </c>
      <c r="G91" s="114">
        <v>10</v>
      </c>
      <c r="H91" s="235">
        <v>44955</v>
      </c>
      <c r="I91" s="234">
        <v>11.3</v>
      </c>
      <c r="J91" s="234">
        <v>87.5</v>
      </c>
      <c r="K91" s="234">
        <v>47</v>
      </c>
      <c r="L91" s="234">
        <v>51</v>
      </c>
      <c r="M91" s="234">
        <v>49</v>
      </c>
      <c r="N91" s="234" t="s">
        <v>290</v>
      </c>
      <c r="O91" s="234" t="s">
        <v>291</v>
      </c>
      <c r="P91" s="234" t="s">
        <v>317</v>
      </c>
      <c r="Q91" s="234" t="s">
        <v>310</v>
      </c>
      <c r="R91" s="296" t="s">
        <v>386</v>
      </c>
      <c r="S91" s="236" t="s">
        <v>382</v>
      </c>
    </row>
    <row r="92" spans="1:19" hidden="1" x14ac:dyDescent="0.3">
      <c r="A92" s="234" t="s">
        <v>111</v>
      </c>
      <c r="B92" s="234">
        <v>16079</v>
      </c>
      <c r="C92" s="208" t="s">
        <v>405</v>
      </c>
      <c r="D92" s="234" t="s">
        <v>258</v>
      </c>
      <c r="E92" s="235">
        <v>43898</v>
      </c>
      <c r="F92" s="212">
        <f t="shared" ca="1" si="1"/>
        <v>5</v>
      </c>
      <c r="G92" s="114">
        <v>10</v>
      </c>
      <c r="H92" s="235">
        <v>44955</v>
      </c>
      <c r="I92" s="234">
        <v>13.5</v>
      </c>
      <c r="J92" s="234">
        <v>89</v>
      </c>
      <c r="K92" s="234">
        <v>49</v>
      </c>
      <c r="L92" s="234">
        <v>57</v>
      </c>
      <c r="M92" s="234">
        <v>55.5</v>
      </c>
      <c r="N92" s="234" t="s">
        <v>290</v>
      </c>
      <c r="O92" s="234" t="s">
        <v>291</v>
      </c>
      <c r="P92" s="234" t="s">
        <v>317</v>
      </c>
      <c r="Q92" s="234" t="s">
        <v>310</v>
      </c>
      <c r="R92" s="296" t="s">
        <v>386</v>
      </c>
      <c r="S92" s="236" t="s">
        <v>382</v>
      </c>
    </row>
    <row r="93" spans="1:19" hidden="1" x14ac:dyDescent="0.3">
      <c r="A93" s="72" t="s">
        <v>111</v>
      </c>
      <c r="B93" s="72">
        <v>16109</v>
      </c>
      <c r="C93" s="211" t="s">
        <v>406</v>
      </c>
      <c r="D93" s="72" t="s">
        <v>254</v>
      </c>
      <c r="E93" s="238">
        <v>43940</v>
      </c>
      <c r="F93" s="212">
        <f t="shared" ca="1" si="1"/>
        <v>5</v>
      </c>
      <c r="G93" s="114">
        <v>9</v>
      </c>
      <c r="H93" s="238">
        <v>44955</v>
      </c>
      <c r="I93" s="72">
        <v>16.100000000000001</v>
      </c>
      <c r="J93" s="72">
        <v>96.5</v>
      </c>
      <c r="K93" s="72">
        <v>50.5</v>
      </c>
      <c r="L93" s="72">
        <v>56</v>
      </c>
      <c r="M93" s="72">
        <v>62</v>
      </c>
      <c r="N93" s="72" t="s">
        <v>290</v>
      </c>
      <c r="O93" s="72" t="s">
        <v>291</v>
      </c>
      <c r="P93" s="72" t="s">
        <v>116</v>
      </c>
      <c r="Q93" s="72" t="s">
        <v>292</v>
      </c>
      <c r="R93" s="297" t="s">
        <v>386</v>
      </c>
      <c r="S93" s="236" t="s">
        <v>382</v>
      </c>
    </row>
    <row r="94" spans="1:19" hidden="1" x14ac:dyDescent="0.3">
      <c r="A94" s="72" t="s">
        <v>111</v>
      </c>
      <c r="B94" s="72">
        <v>16151</v>
      </c>
      <c r="C94" s="211" t="s">
        <v>407</v>
      </c>
      <c r="D94" s="72" t="s">
        <v>254</v>
      </c>
      <c r="E94" s="238">
        <v>44014</v>
      </c>
      <c r="F94" s="212">
        <f t="shared" ca="1" si="1"/>
        <v>4</v>
      </c>
      <c r="G94" s="114">
        <v>6</v>
      </c>
      <c r="H94" s="238">
        <v>44955</v>
      </c>
      <c r="I94" s="72">
        <v>11.9</v>
      </c>
      <c r="J94" s="72">
        <v>89</v>
      </c>
      <c r="K94" s="72">
        <v>48</v>
      </c>
      <c r="L94" s="72">
        <v>52</v>
      </c>
      <c r="M94" s="72">
        <v>53</v>
      </c>
      <c r="N94" s="72" t="s">
        <v>290</v>
      </c>
      <c r="O94" s="72" t="s">
        <v>291</v>
      </c>
      <c r="P94" s="72" t="s">
        <v>317</v>
      </c>
      <c r="Q94" s="72" t="s">
        <v>310</v>
      </c>
      <c r="R94" s="297" t="s">
        <v>386</v>
      </c>
      <c r="S94" s="236" t="s">
        <v>382</v>
      </c>
    </row>
    <row r="95" spans="1:19" hidden="1" x14ac:dyDescent="0.3">
      <c r="A95" s="72" t="s">
        <v>111</v>
      </c>
      <c r="B95" s="72">
        <v>16133</v>
      </c>
      <c r="C95" s="211" t="s">
        <v>408</v>
      </c>
      <c r="D95" s="72" t="s">
        <v>258</v>
      </c>
      <c r="E95" s="238">
        <v>44076</v>
      </c>
      <c r="F95" s="212">
        <f t="shared" ca="1" si="1"/>
        <v>4</v>
      </c>
      <c r="G95" s="114">
        <v>4</v>
      </c>
      <c r="H95" s="238">
        <v>44955</v>
      </c>
      <c r="I95" s="72">
        <v>12.3</v>
      </c>
      <c r="J95" s="72">
        <v>86.5</v>
      </c>
      <c r="K95" s="72">
        <v>48</v>
      </c>
      <c r="L95" s="72">
        <v>51</v>
      </c>
      <c r="M95" s="72">
        <v>51</v>
      </c>
      <c r="N95" s="72" t="s">
        <v>290</v>
      </c>
      <c r="O95" s="72" t="s">
        <v>291</v>
      </c>
      <c r="P95" s="72" t="s">
        <v>116</v>
      </c>
      <c r="Q95" s="72" t="s">
        <v>292</v>
      </c>
      <c r="R95" s="297" t="s">
        <v>386</v>
      </c>
      <c r="S95" s="236" t="s">
        <v>382</v>
      </c>
    </row>
    <row r="96" spans="1:19" hidden="1" x14ac:dyDescent="0.3">
      <c r="A96" s="72" t="s">
        <v>111</v>
      </c>
      <c r="B96" s="72">
        <v>16344</v>
      </c>
      <c r="C96" s="211" t="s">
        <v>409</v>
      </c>
      <c r="D96" s="72" t="s">
        <v>254</v>
      </c>
      <c r="E96" s="238">
        <v>44109</v>
      </c>
      <c r="F96" s="212">
        <f t="shared" ca="1" si="1"/>
        <v>4</v>
      </c>
      <c r="G96" s="114">
        <v>3</v>
      </c>
      <c r="H96" s="238">
        <v>44955</v>
      </c>
      <c r="I96" s="72">
        <v>12.6</v>
      </c>
      <c r="J96" s="72">
        <v>88</v>
      </c>
      <c r="K96" s="72">
        <v>49</v>
      </c>
      <c r="L96" s="72">
        <v>55</v>
      </c>
      <c r="M96" s="72">
        <v>52</v>
      </c>
      <c r="N96" s="72" t="s">
        <v>290</v>
      </c>
      <c r="O96" s="72" t="s">
        <v>291</v>
      </c>
      <c r="P96" s="72" t="s">
        <v>317</v>
      </c>
      <c r="Q96" s="72" t="s">
        <v>310</v>
      </c>
      <c r="R96" s="297" t="s">
        <v>386</v>
      </c>
      <c r="S96" s="236" t="s">
        <v>382</v>
      </c>
    </row>
    <row r="97" spans="1:19" hidden="1" x14ac:dyDescent="0.3">
      <c r="A97" s="72" t="s">
        <v>111</v>
      </c>
      <c r="B97" s="72">
        <v>16179</v>
      </c>
      <c r="C97" s="211" t="s">
        <v>410</v>
      </c>
      <c r="D97" s="72" t="s">
        <v>258</v>
      </c>
      <c r="E97" s="238">
        <v>44133</v>
      </c>
      <c r="F97" s="212">
        <f t="shared" ca="1" si="1"/>
        <v>4</v>
      </c>
      <c r="G97" s="114">
        <v>3</v>
      </c>
      <c r="H97" s="238">
        <v>44955</v>
      </c>
      <c r="I97" s="72">
        <v>11.5</v>
      </c>
      <c r="J97" s="72">
        <v>80</v>
      </c>
      <c r="K97" s="72">
        <v>48</v>
      </c>
      <c r="L97" s="72">
        <v>49</v>
      </c>
      <c r="M97" s="72">
        <v>52</v>
      </c>
      <c r="N97" s="72" t="s">
        <v>290</v>
      </c>
      <c r="O97" s="72" t="s">
        <v>291</v>
      </c>
      <c r="P97" s="72" t="s">
        <v>116</v>
      </c>
      <c r="Q97" s="72" t="s">
        <v>292</v>
      </c>
      <c r="R97" s="297" t="s">
        <v>386</v>
      </c>
      <c r="S97" s="236" t="s">
        <v>382</v>
      </c>
    </row>
    <row r="98" spans="1:19" hidden="1" x14ac:dyDescent="0.3">
      <c r="A98" s="46" t="s">
        <v>111</v>
      </c>
      <c r="B98" s="46">
        <v>16168</v>
      </c>
      <c r="C98" s="210" t="s">
        <v>411</v>
      </c>
      <c r="D98" s="46" t="s">
        <v>258</v>
      </c>
      <c r="E98" s="215">
        <v>44135</v>
      </c>
      <c r="F98" s="212">
        <f t="shared" ca="1" si="1"/>
        <v>4</v>
      </c>
      <c r="G98" s="114">
        <v>2</v>
      </c>
      <c r="H98" s="215">
        <v>44955</v>
      </c>
      <c r="I98" s="46">
        <v>10.7</v>
      </c>
      <c r="J98" s="46">
        <v>82.5</v>
      </c>
      <c r="K98" s="46">
        <v>48.5</v>
      </c>
      <c r="L98" s="46">
        <v>49</v>
      </c>
      <c r="M98" s="46">
        <v>52.5</v>
      </c>
      <c r="N98" s="46" t="s">
        <v>290</v>
      </c>
      <c r="O98" s="46" t="s">
        <v>291</v>
      </c>
      <c r="P98" s="46" t="s">
        <v>317</v>
      </c>
      <c r="Q98" s="46" t="s">
        <v>310</v>
      </c>
      <c r="R98" s="239" t="s">
        <v>386</v>
      </c>
      <c r="S98" s="236" t="s">
        <v>382</v>
      </c>
    </row>
    <row r="99" spans="1:19" hidden="1" x14ac:dyDescent="0.3">
      <c r="A99" s="46" t="s">
        <v>111</v>
      </c>
      <c r="B99" s="46">
        <v>16180</v>
      </c>
      <c r="C99" s="210" t="s">
        <v>412</v>
      </c>
      <c r="D99" s="46" t="s">
        <v>254</v>
      </c>
      <c r="E99" s="215">
        <v>44171</v>
      </c>
      <c r="F99" s="212">
        <f t="shared" ca="1" si="1"/>
        <v>4</v>
      </c>
      <c r="G99" s="114">
        <v>1</v>
      </c>
      <c r="H99" s="215">
        <v>44955</v>
      </c>
      <c r="I99" s="46">
        <v>9.9</v>
      </c>
      <c r="J99" s="46">
        <v>81.5</v>
      </c>
      <c r="K99" s="46">
        <v>47</v>
      </c>
      <c r="L99" s="46">
        <v>48</v>
      </c>
      <c r="M99" s="46">
        <v>45</v>
      </c>
      <c r="N99" s="46" t="s">
        <v>290</v>
      </c>
      <c r="O99" s="46" t="s">
        <v>291</v>
      </c>
      <c r="P99" s="46" t="s">
        <v>116</v>
      </c>
      <c r="Q99" s="46" t="s">
        <v>292</v>
      </c>
      <c r="R99" s="239" t="s">
        <v>386</v>
      </c>
      <c r="S99" s="236" t="s">
        <v>382</v>
      </c>
    </row>
    <row r="100" spans="1:19" hidden="1" x14ac:dyDescent="0.3">
      <c r="A100" s="46" t="s">
        <v>111</v>
      </c>
      <c r="B100" s="72">
        <v>16218</v>
      </c>
      <c r="C100" s="211" t="s">
        <v>413</v>
      </c>
      <c r="D100" s="72" t="s">
        <v>258</v>
      </c>
      <c r="E100" s="238">
        <v>44358</v>
      </c>
      <c r="F100" s="212">
        <f t="shared" ca="1" si="1"/>
        <v>3</v>
      </c>
      <c r="G100" s="114">
        <v>7</v>
      </c>
      <c r="H100" s="215">
        <v>44955</v>
      </c>
      <c r="I100" s="72">
        <v>11.5</v>
      </c>
      <c r="J100" s="72">
        <v>78.5</v>
      </c>
      <c r="K100" s="72">
        <v>47</v>
      </c>
      <c r="L100" s="72">
        <v>51</v>
      </c>
      <c r="M100" s="72">
        <v>54.5</v>
      </c>
      <c r="N100" s="72" t="s">
        <v>290</v>
      </c>
      <c r="O100" s="72" t="s">
        <v>291</v>
      </c>
      <c r="P100" s="72" t="s">
        <v>116</v>
      </c>
      <c r="Q100" s="72" t="s">
        <v>292</v>
      </c>
      <c r="R100" s="297" t="s">
        <v>403</v>
      </c>
      <c r="S100" s="236" t="s">
        <v>382</v>
      </c>
    </row>
    <row r="101" spans="1:19" hidden="1" x14ac:dyDescent="0.3">
      <c r="A101" s="46" t="s">
        <v>111</v>
      </c>
      <c r="B101" s="72">
        <v>16222</v>
      </c>
      <c r="C101" s="211" t="s">
        <v>414</v>
      </c>
      <c r="D101" s="72" t="s">
        <v>258</v>
      </c>
      <c r="E101" s="238">
        <v>44360</v>
      </c>
      <c r="F101" s="212">
        <f t="shared" ca="1" si="1"/>
        <v>3</v>
      </c>
      <c r="G101" s="114">
        <v>7</v>
      </c>
      <c r="H101" s="215">
        <v>44955</v>
      </c>
      <c r="I101" s="72">
        <v>11.7</v>
      </c>
      <c r="J101" s="72">
        <v>84</v>
      </c>
      <c r="K101" s="72">
        <v>46</v>
      </c>
      <c r="L101" s="72">
        <v>51</v>
      </c>
      <c r="M101" s="72">
        <v>49.5</v>
      </c>
      <c r="N101" s="72" t="s">
        <v>290</v>
      </c>
      <c r="O101" s="72" t="s">
        <v>291</v>
      </c>
      <c r="P101" s="72" t="s">
        <v>116</v>
      </c>
      <c r="Q101" s="72" t="s">
        <v>292</v>
      </c>
      <c r="R101" s="297" t="s">
        <v>403</v>
      </c>
      <c r="S101" s="236" t="s">
        <v>382</v>
      </c>
    </row>
    <row r="102" spans="1:19" hidden="1" x14ac:dyDescent="0.3">
      <c r="A102" s="46" t="s">
        <v>111</v>
      </c>
      <c r="B102" s="72">
        <v>16219</v>
      </c>
      <c r="C102" s="211" t="s">
        <v>415</v>
      </c>
      <c r="D102" s="72" t="s">
        <v>258</v>
      </c>
      <c r="E102" s="238">
        <v>44360</v>
      </c>
      <c r="F102" s="212">
        <f t="shared" ca="1" si="1"/>
        <v>3</v>
      </c>
      <c r="G102" s="114">
        <v>7</v>
      </c>
      <c r="H102" s="215">
        <v>44955</v>
      </c>
      <c r="I102" s="242">
        <v>10.5</v>
      </c>
      <c r="J102" s="72">
        <v>81</v>
      </c>
      <c r="K102" s="72">
        <v>47</v>
      </c>
      <c r="L102" s="72">
        <v>50</v>
      </c>
      <c r="M102" s="72">
        <v>47</v>
      </c>
      <c r="N102" s="72" t="s">
        <v>290</v>
      </c>
      <c r="O102" s="72" t="s">
        <v>291</v>
      </c>
      <c r="P102" s="72" t="s">
        <v>317</v>
      </c>
      <c r="Q102" s="72" t="s">
        <v>292</v>
      </c>
      <c r="R102" s="297" t="s">
        <v>403</v>
      </c>
      <c r="S102" s="236" t="s">
        <v>382</v>
      </c>
    </row>
    <row r="103" spans="1:19" hidden="1" x14ac:dyDescent="0.3">
      <c r="A103" s="46" t="s">
        <v>111</v>
      </c>
      <c r="B103" s="46">
        <v>16303</v>
      </c>
      <c r="C103" s="210" t="s">
        <v>416</v>
      </c>
      <c r="D103" s="46" t="s">
        <v>254</v>
      </c>
      <c r="E103" s="215">
        <v>44582</v>
      </c>
      <c r="F103" s="212">
        <f t="shared" ca="1" si="1"/>
        <v>3</v>
      </c>
      <c r="G103" s="114">
        <v>0</v>
      </c>
      <c r="H103" s="215">
        <v>44955</v>
      </c>
      <c r="I103" s="46"/>
      <c r="J103" s="46"/>
      <c r="K103" s="46"/>
      <c r="L103" s="46"/>
      <c r="M103" s="46"/>
      <c r="N103" s="46"/>
      <c r="O103" s="46"/>
      <c r="P103" s="46" t="s">
        <v>305</v>
      </c>
      <c r="Q103" s="46" t="s">
        <v>292</v>
      </c>
      <c r="R103" s="239" t="s">
        <v>403</v>
      </c>
      <c r="S103" s="236" t="s">
        <v>382</v>
      </c>
    </row>
    <row r="104" spans="1:19" hidden="1" x14ac:dyDescent="0.3">
      <c r="A104" s="46" t="s">
        <v>111</v>
      </c>
      <c r="B104" s="46">
        <v>16312</v>
      </c>
      <c r="C104" s="210" t="s">
        <v>417</v>
      </c>
      <c r="D104" s="46" t="s">
        <v>254</v>
      </c>
      <c r="E104" s="215">
        <v>44603</v>
      </c>
      <c r="F104" s="212">
        <f t="shared" ca="1" si="1"/>
        <v>3</v>
      </c>
      <c r="G104" s="114">
        <v>11</v>
      </c>
      <c r="H104" s="215">
        <v>44955</v>
      </c>
      <c r="I104" s="46">
        <v>8.1999999999999993</v>
      </c>
      <c r="J104" s="46">
        <v>68</v>
      </c>
      <c r="K104" s="46">
        <v>45</v>
      </c>
      <c r="L104" s="46">
        <v>45</v>
      </c>
      <c r="M104" s="46">
        <v>43</v>
      </c>
      <c r="N104" s="46" t="s">
        <v>290</v>
      </c>
      <c r="O104" s="46" t="s">
        <v>291</v>
      </c>
      <c r="P104" s="46" t="s">
        <v>317</v>
      </c>
      <c r="Q104" s="46" t="s">
        <v>292</v>
      </c>
      <c r="R104" s="239" t="s">
        <v>403</v>
      </c>
      <c r="S104" s="236" t="s">
        <v>382</v>
      </c>
    </row>
    <row r="105" spans="1:19" hidden="1" x14ac:dyDescent="0.3">
      <c r="A105" s="46" t="s">
        <v>111</v>
      </c>
      <c r="B105" s="46">
        <v>16337</v>
      </c>
      <c r="C105" s="210" t="s">
        <v>418</v>
      </c>
      <c r="D105" s="46" t="s">
        <v>258</v>
      </c>
      <c r="E105" s="215">
        <v>44636</v>
      </c>
      <c r="F105" s="212">
        <f t="shared" ca="1" si="1"/>
        <v>3</v>
      </c>
      <c r="G105" s="114">
        <v>10</v>
      </c>
      <c r="H105" s="215">
        <v>44955</v>
      </c>
      <c r="I105" s="46">
        <v>9.1999999999999993</v>
      </c>
      <c r="J105" s="46">
        <v>67</v>
      </c>
      <c r="K105" s="46">
        <v>46</v>
      </c>
      <c r="L105" s="46">
        <v>48</v>
      </c>
      <c r="M105" s="46">
        <v>52</v>
      </c>
      <c r="N105" s="46" t="s">
        <v>290</v>
      </c>
      <c r="O105" s="46" t="s">
        <v>291</v>
      </c>
      <c r="P105" s="46" t="s">
        <v>116</v>
      </c>
      <c r="Q105" s="46" t="s">
        <v>292</v>
      </c>
      <c r="R105" s="239" t="s">
        <v>403</v>
      </c>
      <c r="S105" s="236" t="s">
        <v>382</v>
      </c>
    </row>
    <row r="106" spans="1:19" hidden="1" x14ac:dyDescent="0.3">
      <c r="A106" s="46" t="s">
        <v>111</v>
      </c>
      <c r="B106" s="46">
        <v>16361</v>
      </c>
      <c r="C106" s="210" t="s">
        <v>419</v>
      </c>
      <c r="D106" s="46" t="s">
        <v>254</v>
      </c>
      <c r="E106" s="215">
        <v>44746</v>
      </c>
      <c r="F106" s="212">
        <f t="shared" ca="1" si="1"/>
        <v>2</v>
      </c>
      <c r="G106" s="114">
        <v>6</v>
      </c>
      <c r="H106" s="215">
        <v>44955</v>
      </c>
      <c r="I106" s="46">
        <v>8.1</v>
      </c>
      <c r="J106" s="46">
        <v>66.5</v>
      </c>
      <c r="K106" s="46">
        <v>44</v>
      </c>
      <c r="L106" s="46">
        <v>45</v>
      </c>
      <c r="M106" s="46">
        <v>46</v>
      </c>
      <c r="N106" s="46" t="s">
        <v>290</v>
      </c>
      <c r="O106" s="46" t="s">
        <v>291</v>
      </c>
      <c r="P106" s="46" t="s">
        <v>116</v>
      </c>
      <c r="Q106" s="46" t="s">
        <v>292</v>
      </c>
      <c r="R106" s="239" t="s">
        <v>403</v>
      </c>
      <c r="S106" s="236" t="s">
        <v>382</v>
      </c>
    </row>
    <row r="107" spans="1:19" hidden="1" x14ac:dyDescent="0.3">
      <c r="A107" s="46" t="s">
        <v>111</v>
      </c>
      <c r="B107" s="46">
        <v>16369</v>
      </c>
      <c r="C107" s="210" t="s">
        <v>420</v>
      </c>
      <c r="D107" s="46" t="s">
        <v>258</v>
      </c>
      <c r="E107" s="215">
        <v>44785</v>
      </c>
      <c r="F107" s="212">
        <f t="shared" ca="1" si="1"/>
        <v>2</v>
      </c>
      <c r="G107" s="114">
        <v>5</v>
      </c>
      <c r="H107" s="215">
        <v>44955</v>
      </c>
      <c r="I107" s="46"/>
      <c r="J107" s="46"/>
      <c r="K107" s="46"/>
      <c r="L107" s="46"/>
      <c r="M107" s="46"/>
      <c r="N107" s="46"/>
      <c r="O107" s="46"/>
      <c r="P107" s="46" t="s">
        <v>305</v>
      </c>
      <c r="Q107" s="46" t="s">
        <v>292</v>
      </c>
      <c r="R107" s="239" t="s">
        <v>403</v>
      </c>
      <c r="S107" s="236" t="s">
        <v>382</v>
      </c>
    </row>
    <row r="108" spans="1:19" hidden="1" x14ac:dyDescent="0.3">
      <c r="A108" s="46" t="s">
        <v>111</v>
      </c>
      <c r="B108" s="46">
        <v>16412</v>
      </c>
      <c r="C108" s="210" t="s">
        <v>421</v>
      </c>
      <c r="D108" s="46" t="s">
        <v>258</v>
      </c>
      <c r="E108" s="215">
        <v>44891</v>
      </c>
      <c r="F108" s="212">
        <f t="shared" ca="1" si="1"/>
        <v>2</v>
      </c>
      <c r="G108" s="114">
        <v>2</v>
      </c>
      <c r="H108" s="215">
        <v>44955</v>
      </c>
      <c r="I108" s="46">
        <v>6</v>
      </c>
      <c r="J108" s="46">
        <v>55</v>
      </c>
      <c r="K108" s="46">
        <v>40</v>
      </c>
      <c r="L108" s="46">
        <v>41</v>
      </c>
      <c r="M108" s="46">
        <v>41</v>
      </c>
      <c r="N108" s="46" t="s">
        <v>290</v>
      </c>
      <c r="O108" s="46" t="s">
        <v>291</v>
      </c>
      <c r="P108" s="46" t="s">
        <v>116</v>
      </c>
      <c r="Q108" s="46" t="s">
        <v>292</v>
      </c>
      <c r="R108" s="239" t="s">
        <v>403</v>
      </c>
      <c r="S108" s="236" t="s">
        <v>382</v>
      </c>
    </row>
    <row r="109" spans="1:19" hidden="1" x14ac:dyDescent="0.3">
      <c r="A109" s="46" t="s">
        <v>111</v>
      </c>
      <c r="B109" s="46">
        <v>16417</v>
      </c>
      <c r="C109" s="210" t="s">
        <v>422</v>
      </c>
      <c r="D109" s="46" t="s">
        <v>254</v>
      </c>
      <c r="E109" s="215">
        <v>44905</v>
      </c>
      <c r="F109" s="212">
        <f t="shared" ca="1" si="1"/>
        <v>2</v>
      </c>
      <c r="G109" s="114">
        <v>1</v>
      </c>
      <c r="H109" s="215">
        <v>44955</v>
      </c>
      <c r="I109" s="46">
        <v>4.5999999999999996</v>
      </c>
      <c r="J109" s="46">
        <v>53.5</v>
      </c>
      <c r="K109" s="46">
        <v>38</v>
      </c>
      <c r="L109" s="46">
        <v>36</v>
      </c>
      <c r="M109" s="46">
        <v>36.5</v>
      </c>
      <c r="N109" s="46" t="s">
        <v>290</v>
      </c>
      <c r="O109" s="46" t="s">
        <v>291</v>
      </c>
      <c r="P109" s="46" t="s">
        <v>116</v>
      </c>
      <c r="Q109" s="46" t="s">
        <v>292</v>
      </c>
      <c r="R109" s="239" t="s">
        <v>403</v>
      </c>
      <c r="S109" s="236" t="s">
        <v>382</v>
      </c>
    </row>
    <row r="110" spans="1:19" hidden="1" x14ac:dyDescent="0.3">
      <c r="A110" s="46" t="s">
        <v>111</v>
      </c>
      <c r="B110" s="46">
        <v>16400</v>
      </c>
      <c r="C110" s="210" t="s">
        <v>423</v>
      </c>
      <c r="D110" s="46" t="s">
        <v>254</v>
      </c>
      <c r="E110" s="215">
        <v>44925</v>
      </c>
      <c r="F110" s="212">
        <f t="shared" ca="1" si="1"/>
        <v>2</v>
      </c>
      <c r="G110" s="114">
        <v>1</v>
      </c>
      <c r="H110" s="215">
        <v>44955</v>
      </c>
      <c r="I110" s="46">
        <v>3.1</v>
      </c>
      <c r="J110" s="46">
        <v>44</v>
      </c>
      <c r="K110" s="46">
        <v>33</v>
      </c>
      <c r="L110" s="46">
        <v>30.5</v>
      </c>
      <c r="M110" s="46">
        <v>31</v>
      </c>
      <c r="N110" s="46" t="s">
        <v>290</v>
      </c>
      <c r="O110" s="46" t="s">
        <v>291</v>
      </c>
      <c r="P110" s="46" t="s">
        <v>116</v>
      </c>
      <c r="Q110" s="46" t="s">
        <v>292</v>
      </c>
      <c r="R110" s="239" t="s">
        <v>403</v>
      </c>
      <c r="S110" s="236" t="s">
        <v>382</v>
      </c>
    </row>
    <row r="111" spans="1:19" hidden="1" x14ac:dyDescent="0.3">
      <c r="A111" s="46" t="s">
        <v>424</v>
      </c>
      <c r="B111" s="46">
        <v>15966</v>
      </c>
      <c r="C111" s="210" t="s">
        <v>425</v>
      </c>
      <c r="D111" s="46" t="s">
        <v>258</v>
      </c>
      <c r="E111" s="215">
        <v>43582</v>
      </c>
      <c r="F111" s="212">
        <f t="shared" ca="1" si="1"/>
        <v>6</v>
      </c>
      <c r="G111" s="114">
        <v>9</v>
      </c>
      <c r="H111" s="215">
        <v>44956</v>
      </c>
      <c r="I111" s="46">
        <v>11.7</v>
      </c>
      <c r="J111" s="46">
        <v>89</v>
      </c>
      <c r="K111" s="46">
        <v>48</v>
      </c>
      <c r="L111" s="46">
        <v>47</v>
      </c>
      <c r="M111" s="46">
        <v>48</v>
      </c>
      <c r="N111" s="46" t="s">
        <v>290</v>
      </c>
      <c r="O111" s="46" t="s">
        <v>291</v>
      </c>
      <c r="P111" s="46" t="s">
        <v>116</v>
      </c>
      <c r="Q111" s="46" t="s">
        <v>292</v>
      </c>
      <c r="R111" s="239" t="s">
        <v>426</v>
      </c>
      <c r="S111" s="46" t="s">
        <v>427</v>
      </c>
    </row>
    <row r="112" spans="1:19" hidden="1" x14ac:dyDescent="0.3">
      <c r="A112" s="46" t="s">
        <v>424</v>
      </c>
      <c r="B112" s="46">
        <v>16114</v>
      </c>
      <c r="C112" s="210" t="s">
        <v>428</v>
      </c>
      <c r="D112" s="46" t="s">
        <v>254</v>
      </c>
      <c r="E112" s="215">
        <v>43957</v>
      </c>
      <c r="F112" s="212">
        <f t="shared" ca="1" si="1"/>
        <v>5</v>
      </c>
      <c r="G112" s="114">
        <v>8</v>
      </c>
      <c r="H112" s="215">
        <v>44956</v>
      </c>
      <c r="I112" s="46">
        <v>11.3</v>
      </c>
      <c r="J112" s="46">
        <v>84.5</v>
      </c>
      <c r="K112" s="46">
        <v>50</v>
      </c>
      <c r="L112" s="46">
        <v>47</v>
      </c>
      <c r="M112" s="46">
        <v>48</v>
      </c>
      <c r="N112" s="46" t="s">
        <v>290</v>
      </c>
      <c r="O112" s="46" t="s">
        <v>291</v>
      </c>
      <c r="P112" s="46" t="s">
        <v>116</v>
      </c>
      <c r="Q112" s="46" t="s">
        <v>292</v>
      </c>
      <c r="R112" s="239" t="s">
        <v>429</v>
      </c>
      <c r="S112" s="46" t="s">
        <v>427</v>
      </c>
    </row>
    <row r="113" spans="1:19" hidden="1" x14ac:dyDescent="0.3">
      <c r="A113" s="46" t="s">
        <v>424</v>
      </c>
      <c r="B113" s="46">
        <v>16318</v>
      </c>
      <c r="C113" s="210" t="s">
        <v>430</v>
      </c>
      <c r="D113" s="46" t="s">
        <v>254</v>
      </c>
      <c r="E113" s="215">
        <v>44631</v>
      </c>
      <c r="F113" s="212">
        <f t="shared" ca="1" si="1"/>
        <v>3</v>
      </c>
      <c r="G113" s="114">
        <v>10</v>
      </c>
      <c r="H113" s="215">
        <v>44956</v>
      </c>
      <c r="I113" s="46">
        <v>9.5</v>
      </c>
      <c r="J113" s="46">
        <v>69.5</v>
      </c>
      <c r="K113" s="46">
        <v>44</v>
      </c>
      <c r="L113" s="46">
        <v>45</v>
      </c>
      <c r="M113" s="46">
        <v>47.5</v>
      </c>
      <c r="N113" s="46" t="s">
        <v>290</v>
      </c>
      <c r="O113" s="46" t="s">
        <v>291</v>
      </c>
      <c r="P113" s="46" t="s">
        <v>116</v>
      </c>
      <c r="Q113" s="46" t="s">
        <v>292</v>
      </c>
      <c r="R113" s="239" t="s">
        <v>403</v>
      </c>
      <c r="S113" s="46" t="s">
        <v>427</v>
      </c>
    </row>
    <row r="114" spans="1:19" hidden="1" x14ac:dyDescent="0.3">
      <c r="A114" s="46" t="s">
        <v>431</v>
      </c>
      <c r="B114" s="46">
        <v>16356</v>
      </c>
      <c r="C114" s="210" t="s">
        <v>432</v>
      </c>
      <c r="D114" s="46" t="s">
        <v>254</v>
      </c>
      <c r="E114" s="215">
        <v>44672</v>
      </c>
      <c r="F114" s="212">
        <f t="shared" ca="1" si="1"/>
        <v>3</v>
      </c>
      <c r="G114" s="114">
        <v>9</v>
      </c>
      <c r="H114" s="215">
        <v>44957</v>
      </c>
      <c r="I114" s="46">
        <v>8.3000000000000007</v>
      </c>
      <c r="J114" s="46">
        <v>70</v>
      </c>
      <c r="K114" s="46">
        <v>46</v>
      </c>
      <c r="L114" s="46">
        <v>44</v>
      </c>
      <c r="M114" s="46">
        <v>46</v>
      </c>
      <c r="N114" s="46" t="s">
        <v>290</v>
      </c>
      <c r="O114" s="46" t="s">
        <v>291</v>
      </c>
      <c r="P114" s="46" t="s">
        <v>116</v>
      </c>
      <c r="Q114" s="46" t="s">
        <v>292</v>
      </c>
      <c r="R114" s="239" t="s">
        <v>403</v>
      </c>
      <c r="S114" s="46" t="s">
        <v>427</v>
      </c>
    </row>
    <row r="115" spans="1:19" hidden="1" x14ac:dyDescent="0.3">
      <c r="A115" s="46" t="s">
        <v>431</v>
      </c>
      <c r="B115" s="46">
        <v>16355</v>
      </c>
      <c r="C115" s="210" t="s">
        <v>433</v>
      </c>
      <c r="D115" s="46" t="s">
        <v>258</v>
      </c>
      <c r="E115" s="215">
        <v>44724</v>
      </c>
      <c r="F115" s="212">
        <f t="shared" ca="1" si="1"/>
        <v>2</v>
      </c>
      <c r="G115" s="114">
        <v>7</v>
      </c>
      <c r="H115" s="215">
        <v>44957</v>
      </c>
      <c r="I115" s="46">
        <v>6.6</v>
      </c>
      <c r="J115" s="46">
        <v>65</v>
      </c>
      <c r="K115" s="46">
        <v>43</v>
      </c>
      <c r="L115" s="46">
        <v>42</v>
      </c>
      <c r="M115" s="46">
        <v>44</v>
      </c>
      <c r="N115" s="46" t="s">
        <v>290</v>
      </c>
      <c r="O115" s="46" t="s">
        <v>291</v>
      </c>
      <c r="P115" s="46" t="s">
        <v>116</v>
      </c>
      <c r="Q115" s="46" t="s">
        <v>292</v>
      </c>
      <c r="R115" s="239" t="s">
        <v>403</v>
      </c>
      <c r="S115" s="46" t="s">
        <v>427</v>
      </c>
    </row>
    <row r="116" spans="1:19" hidden="1" x14ac:dyDescent="0.3">
      <c r="A116" s="46" t="s">
        <v>431</v>
      </c>
      <c r="B116" s="46">
        <v>16005</v>
      </c>
      <c r="C116" s="210" t="s">
        <v>434</v>
      </c>
      <c r="D116" s="46" t="s">
        <v>254</v>
      </c>
      <c r="E116" s="215">
        <v>43637</v>
      </c>
      <c r="F116" s="212">
        <f t="shared" ca="1" si="1"/>
        <v>5</v>
      </c>
      <c r="G116" s="114">
        <v>7</v>
      </c>
      <c r="H116" s="215">
        <v>44957</v>
      </c>
      <c r="I116" s="46">
        <v>14</v>
      </c>
      <c r="J116" s="46">
        <v>93</v>
      </c>
      <c r="K116" s="46">
        <v>50</v>
      </c>
      <c r="L116" s="46">
        <v>52</v>
      </c>
      <c r="M116" s="46">
        <v>52</v>
      </c>
      <c r="N116" s="46" t="s">
        <v>290</v>
      </c>
      <c r="O116" s="46" t="s">
        <v>291</v>
      </c>
      <c r="P116" s="46" t="s">
        <v>116</v>
      </c>
      <c r="Q116" s="46" t="s">
        <v>292</v>
      </c>
      <c r="R116" s="239" t="s">
        <v>435</v>
      </c>
      <c r="S116" s="46" t="s">
        <v>427</v>
      </c>
    </row>
    <row r="117" spans="1:19" hidden="1" x14ac:dyDescent="0.3">
      <c r="A117" s="46" t="s">
        <v>431</v>
      </c>
      <c r="B117" s="46">
        <v>16257</v>
      </c>
      <c r="C117" s="210" t="s">
        <v>436</v>
      </c>
      <c r="D117" s="46" t="s">
        <v>258</v>
      </c>
      <c r="E117" s="215">
        <v>44423</v>
      </c>
      <c r="F117" s="212">
        <f t="shared" ca="1" si="1"/>
        <v>3</v>
      </c>
      <c r="G117" s="114">
        <v>5</v>
      </c>
      <c r="H117" s="215">
        <v>44957</v>
      </c>
      <c r="I117" s="46">
        <v>9.5</v>
      </c>
      <c r="J117" s="46">
        <v>74</v>
      </c>
      <c r="K117" s="46">
        <v>47</v>
      </c>
      <c r="L117" s="46">
        <v>49</v>
      </c>
      <c r="M117" s="46">
        <v>46</v>
      </c>
      <c r="N117" s="46" t="s">
        <v>290</v>
      </c>
      <c r="O117" s="46" t="s">
        <v>291</v>
      </c>
      <c r="P117" s="46" t="s">
        <v>317</v>
      </c>
      <c r="Q117" s="46" t="s">
        <v>310</v>
      </c>
      <c r="R117" s="239" t="s">
        <v>403</v>
      </c>
      <c r="S117" s="46" t="s">
        <v>427</v>
      </c>
    </row>
    <row r="118" spans="1:19" hidden="1" x14ac:dyDescent="0.3">
      <c r="A118" s="46" t="s">
        <v>437</v>
      </c>
      <c r="B118" s="46">
        <v>16113</v>
      </c>
      <c r="C118" s="210" t="s">
        <v>414</v>
      </c>
      <c r="D118" s="46" t="s">
        <v>254</v>
      </c>
      <c r="E118" s="215">
        <v>43968</v>
      </c>
      <c r="F118" s="212">
        <f t="shared" ca="1" si="1"/>
        <v>4</v>
      </c>
      <c r="G118" s="114">
        <v>8</v>
      </c>
      <c r="H118" s="215">
        <v>44941</v>
      </c>
      <c r="I118" s="46">
        <v>12.8</v>
      </c>
      <c r="J118" s="46">
        <v>88</v>
      </c>
      <c r="K118" s="46">
        <v>47</v>
      </c>
      <c r="L118" s="46">
        <v>52</v>
      </c>
      <c r="M118" s="46">
        <v>49</v>
      </c>
      <c r="N118" s="46" t="s">
        <v>290</v>
      </c>
      <c r="O118" s="46" t="s">
        <v>291</v>
      </c>
      <c r="P118" s="46" t="s">
        <v>116</v>
      </c>
      <c r="Q118" s="46" t="s">
        <v>292</v>
      </c>
      <c r="R118" s="239" t="s">
        <v>429</v>
      </c>
      <c r="S118" s="46" t="s">
        <v>438</v>
      </c>
    </row>
    <row r="119" spans="1:19" hidden="1" x14ac:dyDescent="0.3">
      <c r="A119" s="46" t="s">
        <v>437</v>
      </c>
      <c r="B119" s="46">
        <v>16205</v>
      </c>
      <c r="C119" s="210" t="s">
        <v>439</v>
      </c>
      <c r="D119" s="46" t="s">
        <v>254</v>
      </c>
      <c r="E119" s="215">
        <v>44209</v>
      </c>
      <c r="F119" s="212">
        <f t="shared" ca="1" si="1"/>
        <v>4</v>
      </c>
      <c r="G119" s="114">
        <v>0</v>
      </c>
      <c r="H119" s="215">
        <v>44941</v>
      </c>
      <c r="I119" s="46">
        <v>11</v>
      </c>
      <c r="J119" s="46">
        <v>79.5</v>
      </c>
      <c r="K119" s="46">
        <v>46</v>
      </c>
      <c r="L119" s="46">
        <v>51</v>
      </c>
      <c r="M119" s="46">
        <v>47</v>
      </c>
      <c r="N119" s="46" t="s">
        <v>290</v>
      </c>
      <c r="O119" s="46" t="s">
        <v>291</v>
      </c>
      <c r="P119" s="46" t="s">
        <v>116</v>
      </c>
      <c r="Q119" s="46" t="s">
        <v>292</v>
      </c>
      <c r="R119" s="239" t="s">
        <v>429</v>
      </c>
      <c r="S119" s="46" t="s">
        <v>440</v>
      </c>
    </row>
    <row r="120" spans="1:19" hidden="1" x14ac:dyDescent="0.3">
      <c r="A120" s="46"/>
      <c r="B120" s="46"/>
      <c r="C120" s="210"/>
      <c r="D120" s="46"/>
      <c r="E120" s="215"/>
      <c r="F120" s="212">
        <f t="shared" ca="1" si="1"/>
        <v>125</v>
      </c>
      <c r="G120" s="114"/>
      <c r="H120" s="215" t="s">
        <v>441</v>
      </c>
      <c r="I120" s="46"/>
      <c r="J120" s="46"/>
      <c r="K120" s="46"/>
      <c r="L120" s="46"/>
      <c r="M120" s="46"/>
      <c r="N120" s="46"/>
      <c r="O120" s="46"/>
      <c r="P120" s="46"/>
      <c r="Q120" s="46"/>
      <c r="R120" s="239"/>
      <c r="S120" s="46"/>
    </row>
    <row r="121" spans="1:19" hidden="1" x14ac:dyDescent="0.3">
      <c r="A121" s="46"/>
      <c r="B121" s="46"/>
      <c r="C121" s="210"/>
      <c r="D121" s="46"/>
      <c r="E121" s="215"/>
      <c r="F121" s="212">
        <f t="shared" ca="1" si="1"/>
        <v>125</v>
      </c>
      <c r="G121" s="114"/>
      <c r="H121" s="215"/>
      <c r="I121" s="46"/>
      <c r="J121" s="46"/>
      <c r="K121" s="46"/>
      <c r="L121" s="46"/>
      <c r="M121" s="46"/>
      <c r="N121" s="46"/>
      <c r="O121" s="46"/>
      <c r="P121" s="46"/>
      <c r="Q121" s="46"/>
      <c r="R121" s="239"/>
      <c r="S121" s="46"/>
    </row>
    <row r="122" spans="1:19" hidden="1" x14ac:dyDescent="0.3">
      <c r="A122" s="46"/>
      <c r="B122" s="46"/>
      <c r="C122" s="210"/>
      <c r="D122" s="46"/>
      <c r="E122" s="215"/>
      <c r="F122" s="212">
        <f t="shared" ca="1" si="1"/>
        <v>125</v>
      </c>
      <c r="G122" s="114"/>
      <c r="H122" s="215"/>
      <c r="I122" s="46"/>
      <c r="J122" s="46"/>
      <c r="K122" s="46"/>
      <c r="L122" s="46"/>
      <c r="M122" s="46"/>
      <c r="N122" s="46"/>
      <c r="O122" s="46"/>
      <c r="P122" s="46"/>
      <c r="Q122" s="46"/>
      <c r="R122" s="239"/>
      <c r="S122" s="46"/>
    </row>
    <row r="123" spans="1:19" hidden="1" x14ac:dyDescent="0.3">
      <c r="A123" s="46"/>
      <c r="B123" s="46"/>
      <c r="C123" s="210"/>
      <c r="D123" s="46"/>
      <c r="E123" s="215"/>
      <c r="F123" s="212">
        <f t="shared" ca="1" si="1"/>
        <v>125</v>
      </c>
      <c r="G123" s="114"/>
      <c r="H123" s="215"/>
      <c r="I123" s="46"/>
      <c r="J123" s="46"/>
      <c r="K123" s="46"/>
      <c r="L123" s="46"/>
      <c r="M123" s="46"/>
      <c r="N123" s="46"/>
      <c r="O123" s="46"/>
      <c r="P123" s="46"/>
      <c r="Q123" s="46"/>
      <c r="R123" s="239"/>
      <c r="S123" s="46"/>
    </row>
    <row r="124" spans="1:19" hidden="1" x14ac:dyDescent="0.3">
      <c r="A124" s="46"/>
      <c r="B124" s="239"/>
      <c r="C124" s="210"/>
      <c r="D124" s="46"/>
      <c r="E124" s="215"/>
      <c r="F124" s="212">
        <f t="shared" ca="1" si="1"/>
        <v>125</v>
      </c>
      <c r="G124" s="114"/>
      <c r="H124" s="215"/>
      <c r="I124" s="46"/>
      <c r="J124" s="46"/>
      <c r="K124" s="46"/>
      <c r="L124" s="46"/>
      <c r="M124" s="46"/>
      <c r="N124" s="46"/>
      <c r="O124" s="46"/>
      <c r="P124" s="46"/>
      <c r="Q124" s="46"/>
      <c r="R124" s="239"/>
      <c r="S124" s="46"/>
    </row>
    <row r="125" spans="1:19" hidden="1" x14ac:dyDescent="0.3">
      <c r="A125" s="46"/>
      <c r="B125" s="46"/>
      <c r="C125" s="210"/>
      <c r="D125" s="46"/>
      <c r="E125" s="215"/>
      <c r="F125" s="212">
        <f t="shared" ca="1" si="1"/>
        <v>125</v>
      </c>
      <c r="G125" s="114"/>
      <c r="H125" s="215"/>
      <c r="I125" s="46"/>
      <c r="J125" s="46"/>
      <c r="K125" s="46"/>
      <c r="L125" s="46"/>
      <c r="M125" s="46"/>
      <c r="N125" s="46"/>
      <c r="O125" s="46"/>
      <c r="P125" s="46"/>
      <c r="Q125" s="46"/>
      <c r="R125" s="239"/>
      <c r="S125" s="46"/>
    </row>
    <row r="126" spans="1:19" hidden="1" x14ac:dyDescent="0.3">
      <c r="A126" s="46"/>
      <c r="B126" s="46"/>
      <c r="C126" s="210"/>
      <c r="D126" s="46"/>
      <c r="E126" s="215"/>
      <c r="F126" s="212">
        <f t="shared" ca="1" si="1"/>
        <v>125</v>
      </c>
      <c r="G126" s="114"/>
      <c r="H126" s="215"/>
      <c r="I126" s="46"/>
      <c r="J126" s="46"/>
      <c r="K126" s="46"/>
      <c r="L126" s="46"/>
      <c r="M126" s="46"/>
      <c r="N126" s="46"/>
      <c r="O126" s="46"/>
      <c r="P126" s="46"/>
      <c r="Q126" s="46"/>
      <c r="R126" s="239"/>
      <c r="S126" s="46"/>
    </row>
    <row r="127" spans="1:19" hidden="1" x14ac:dyDescent="0.3">
      <c r="A127" s="46"/>
      <c r="B127" s="46"/>
      <c r="C127" s="210"/>
      <c r="D127" s="46"/>
      <c r="E127" s="215"/>
      <c r="F127" s="212">
        <f t="shared" ca="1" si="1"/>
        <v>125</v>
      </c>
      <c r="G127" s="114"/>
      <c r="H127" s="215"/>
      <c r="I127" s="46"/>
      <c r="J127" s="46"/>
      <c r="K127" s="46"/>
      <c r="L127" s="46"/>
      <c r="M127" s="46"/>
      <c r="N127" s="46"/>
      <c r="O127" s="46"/>
      <c r="P127" s="46"/>
      <c r="Q127" s="46"/>
      <c r="R127" s="239"/>
      <c r="S127" s="46"/>
    </row>
    <row r="128" spans="1:19" hidden="1" x14ac:dyDescent="0.3">
      <c r="A128" s="46"/>
      <c r="B128" s="46"/>
      <c r="C128" s="210"/>
      <c r="D128" s="46"/>
      <c r="E128" s="215"/>
      <c r="F128" s="212">
        <f t="shared" ca="1" si="1"/>
        <v>125</v>
      </c>
      <c r="G128" s="114"/>
      <c r="H128" s="215"/>
      <c r="I128" s="46"/>
      <c r="J128" s="46"/>
      <c r="K128" s="46"/>
      <c r="L128" s="46"/>
      <c r="M128" s="46"/>
      <c r="N128" s="46"/>
      <c r="O128" s="46"/>
      <c r="P128" s="46"/>
      <c r="Q128" s="46"/>
      <c r="R128" s="239"/>
      <c r="S128" s="46"/>
    </row>
    <row r="129" spans="1:19" hidden="1" x14ac:dyDescent="0.3">
      <c r="A129" s="46"/>
      <c r="B129" s="46"/>
      <c r="C129" s="210"/>
      <c r="D129" s="46"/>
      <c r="E129" s="215"/>
      <c r="F129" s="212">
        <f t="shared" ca="1" si="1"/>
        <v>125</v>
      </c>
      <c r="G129" s="114"/>
      <c r="H129" s="215"/>
      <c r="I129" s="46"/>
      <c r="J129" s="46"/>
      <c r="K129" s="46"/>
      <c r="L129" s="46"/>
      <c r="M129" s="46"/>
      <c r="N129" s="46"/>
      <c r="O129" s="46"/>
      <c r="P129" s="46"/>
      <c r="Q129" s="46"/>
      <c r="R129" s="239"/>
      <c r="S129" s="46"/>
    </row>
    <row r="130" spans="1:19" hidden="1" x14ac:dyDescent="0.3">
      <c r="A130" s="46"/>
      <c r="B130" s="46"/>
      <c r="C130" s="210"/>
      <c r="D130" s="46"/>
      <c r="E130" s="215"/>
      <c r="F130" s="212">
        <f t="shared" ca="1" si="1"/>
        <v>125</v>
      </c>
      <c r="G130" s="114"/>
      <c r="H130" s="215"/>
      <c r="I130" s="46"/>
      <c r="J130" s="46"/>
      <c r="K130" s="46"/>
      <c r="L130" s="46"/>
      <c r="M130" s="46"/>
      <c r="N130" s="46"/>
      <c r="O130" s="46"/>
      <c r="P130" s="46"/>
      <c r="Q130" s="46"/>
      <c r="R130" s="239"/>
      <c r="S130" s="46"/>
    </row>
    <row r="131" spans="1:19" hidden="1" x14ac:dyDescent="0.3">
      <c r="A131" s="46"/>
      <c r="B131" s="46"/>
      <c r="C131" s="210"/>
      <c r="D131" s="46"/>
      <c r="E131" s="215"/>
      <c r="F131" s="212">
        <f t="shared" ca="1" si="1"/>
        <v>125</v>
      </c>
      <c r="G131" s="114"/>
      <c r="H131" s="215"/>
      <c r="I131" s="46"/>
      <c r="J131" s="46"/>
      <c r="K131" s="46"/>
      <c r="L131" s="46"/>
      <c r="M131" s="46"/>
      <c r="N131" s="46"/>
      <c r="O131" s="46"/>
      <c r="P131" s="46"/>
      <c r="Q131" s="46"/>
      <c r="R131" s="243"/>
      <c r="S131" s="46"/>
    </row>
    <row r="132" spans="1:19" hidden="1" x14ac:dyDescent="0.3">
      <c r="A132" s="46"/>
      <c r="B132" s="46"/>
      <c r="C132" s="210"/>
      <c r="D132" s="46"/>
      <c r="E132" s="46"/>
      <c r="F132" s="212">
        <f t="shared" ca="1" si="1"/>
        <v>125</v>
      </c>
      <c r="G132" s="114"/>
      <c r="H132" s="46"/>
      <c r="I132" s="46"/>
      <c r="J132" s="46"/>
      <c r="K132" s="46"/>
      <c r="L132" s="46"/>
      <c r="M132" s="46"/>
      <c r="N132" s="46"/>
      <c r="O132" s="46"/>
      <c r="P132" s="46"/>
      <c r="Q132" s="46"/>
      <c r="R132" s="46"/>
      <c r="S132" s="46"/>
    </row>
    <row r="133" spans="1:19" hidden="1" x14ac:dyDescent="0.3">
      <c r="A133" s="46"/>
      <c r="B133" s="46"/>
      <c r="C133" s="210"/>
      <c r="D133" s="46"/>
      <c r="E133" s="215"/>
      <c r="F133" s="212">
        <f t="shared" ca="1" si="1"/>
        <v>125</v>
      </c>
      <c r="G133" s="114"/>
      <c r="H133" s="215"/>
      <c r="I133" s="46"/>
      <c r="J133" s="46"/>
      <c r="K133" s="46"/>
      <c r="L133" s="46"/>
      <c r="M133" s="46"/>
      <c r="N133" s="46"/>
      <c r="O133" s="46"/>
      <c r="P133" s="46"/>
      <c r="Q133" s="46"/>
      <c r="R133" s="243"/>
      <c r="S133" s="46"/>
    </row>
    <row r="134" spans="1:19" hidden="1" x14ac:dyDescent="0.3">
      <c r="A134" s="46"/>
      <c r="B134" s="46"/>
      <c r="C134" s="210"/>
      <c r="D134" s="46"/>
      <c r="E134" s="215"/>
      <c r="F134" s="212">
        <f t="shared" ca="1" si="1"/>
        <v>125</v>
      </c>
      <c r="G134" s="114"/>
      <c r="H134" s="215"/>
      <c r="I134" s="46"/>
      <c r="J134" s="46"/>
      <c r="K134" s="46"/>
      <c r="L134" s="46"/>
      <c r="M134" s="46"/>
      <c r="N134" s="46"/>
      <c r="O134" s="46"/>
      <c r="P134" s="46"/>
      <c r="Q134" s="46"/>
      <c r="R134" s="243"/>
      <c r="S134" s="46"/>
    </row>
    <row r="135" spans="1:19" hidden="1" x14ac:dyDescent="0.3">
      <c r="A135" s="46"/>
      <c r="B135" s="46"/>
      <c r="C135" s="210"/>
      <c r="D135" s="46"/>
      <c r="E135" s="215"/>
      <c r="F135" s="212">
        <f t="shared" ca="1" si="1"/>
        <v>125</v>
      </c>
      <c r="G135" s="114"/>
      <c r="H135" s="215"/>
      <c r="I135" s="46"/>
      <c r="J135" s="46"/>
      <c r="K135" s="46"/>
      <c r="L135" s="46"/>
      <c r="M135" s="46"/>
      <c r="N135" s="46"/>
      <c r="O135" s="46"/>
      <c r="P135" s="46"/>
      <c r="Q135" s="46"/>
      <c r="R135" s="46"/>
      <c r="S135" s="46"/>
    </row>
    <row r="136" spans="1:19" hidden="1" x14ac:dyDescent="0.3">
      <c r="A136" s="46"/>
      <c r="B136" s="46"/>
      <c r="C136" s="210"/>
      <c r="D136" s="46"/>
      <c r="E136" s="215"/>
      <c r="F136" s="212">
        <f t="shared" ca="1" si="1"/>
        <v>125</v>
      </c>
      <c r="G136" s="114"/>
      <c r="H136" s="215"/>
      <c r="I136" s="46"/>
      <c r="J136" s="46"/>
      <c r="K136" s="46"/>
      <c r="L136" s="46"/>
      <c r="M136" s="46"/>
      <c r="N136" s="46"/>
      <c r="O136" s="46"/>
      <c r="P136" s="46"/>
      <c r="Q136" s="46"/>
      <c r="R136" s="243"/>
      <c r="S136" s="46"/>
    </row>
    <row r="137" spans="1:19" hidden="1" x14ac:dyDescent="0.3">
      <c r="A137" s="46"/>
      <c r="B137" s="46"/>
      <c r="C137" s="210"/>
      <c r="D137" s="46"/>
      <c r="E137" s="215"/>
      <c r="F137" s="212">
        <f t="shared" ca="1" si="1"/>
        <v>125</v>
      </c>
      <c r="G137" s="114"/>
      <c r="H137" s="215"/>
      <c r="I137" s="46"/>
      <c r="J137" s="46"/>
      <c r="K137" s="46"/>
      <c r="L137" s="46"/>
      <c r="M137" s="46"/>
      <c r="N137" s="46"/>
      <c r="O137" s="46"/>
      <c r="P137" s="46"/>
      <c r="Q137" s="46"/>
      <c r="R137" s="243"/>
      <c r="S137" s="46"/>
    </row>
    <row r="138" spans="1:19" hidden="1" x14ac:dyDescent="0.3">
      <c r="A138" s="46"/>
      <c r="B138" s="46"/>
      <c r="C138" s="210"/>
      <c r="D138" s="46"/>
      <c r="E138" s="215"/>
      <c r="F138" s="212">
        <f t="shared" ref="F138:F143" ca="1" si="2">DATEDIF(E138,TODAY(),"Y")</f>
        <v>125</v>
      </c>
      <c r="G138" s="114"/>
      <c r="H138" s="215"/>
      <c r="I138" s="46"/>
      <c r="J138" s="46"/>
      <c r="K138" s="46"/>
      <c r="L138" s="46"/>
      <c r="M138" s="46"/>
      <c r="N138" s="46"/>
      <c r="O138" s="46"/>
      <c r="P138" s="46"/>
      <c r="Q138" s="46"/>
      <c r="R138" s="243"/>
      <c r="S138" s="46"/>
    </row>
    <row r="139" spans="1:19" hidden="1" x14ac:dyDescent="0.3">
      <c r="A139" s="46"/>
      <c r="B139" s="46"/>
      <c r="C139" s="210"/>
      <c r="D139" s="46"/>
      <c r="E139" s="215"/>
      <c r="F139" s="212">
        <f t="shared" ca="1" si="2"/>
        <v>125</v>
      </c>
      <c r="G139" s="114"/>
      <c r="H139" s="215"/>
      <c r="I139" s="46"/>
      <c r="J139" s="46"/>
      <c r="K139" s="46"/>
      <c r="L139" s="46"/>
      <c r="M139" s="46"/>
      <c r="N139" s="46"/>
      <c r="O139" s="46"/>
      <c r="P139" s="46"/>
      <c r="Q139" s="46"/>
      <c r="R139" s="243"/>
      <c r="S139" s="46"/>
    </row>
    <row r="140" spans="1:19" hidden="1" x14ac:dyDescent="0.3">
      <c r="A140" s="46"/>
      <c r="B140" s="46"/>
      <c r="C140" s="210"/>
      <c r="D140" s="46"/>
      <c r="E140" s="46"/>
      <c r="F140" s="212">
        <f t="shared" ca="1" si="2"/>
        <v>125</v>
      </c>
      <c r="G140" s="114"/>
      <c r="H140" s="46"/>
      <c r="I140" s="46"/>
      <c r="J140" s="46"/>
      <c r="K140" s="46"/>
      <c r="L140" s="46"/>
      <c r="M140" s="46"/>
      <c r="N140" s="46"/>
      <c r="O140" s="46"/>
      <c r="P140" s="46"/>
      <c r="Q140" s="46"/>
      <c r="R140" s="46"/>
      <c r="S140" s="46"/>
    </row>
    <row r="141" spans="1:19" hidden="1" x14ac:dyDescent="0.3">
      <c r="A141" s="46"/>
      <c r="B141" s="46"/>
      <c r="C141" s="210"/>
      <c r="D141" s="46"/>
      <c r="E141" s="46"/>
      <c r="F141" s="212">
        <f t="shared" ca="1" si="2"/>
        <v>125</v>
      </c>
      <c r="G141" s="114"/>
      <c r="H141" s="46"/>
      <c r="I141" s="46"/>
      <c r="J141" s="46"/>
      <c r="K141" s="46"/>
      <c r="L141" s="46"/>
      <c r="M141" s="46"/>
      <c r="N141" s="46"/>
      <c r="O141" s="46"/>
      <c r="P141" s="46"/>
      <c r="Q141" s="46"/>
      <c r="R141" s="46"/>
      <c r="S141" s="46"/>
    </row>
    <row r="142" spans="1:19" hidden="1" x14ac:dyDescent="0.3">
      <c r="A142" s="46"/>
      <c r="B142" s="46"/>
      <c r="C142" s="210"/>
      <c r="D142" s="46"/>
      <c r="E142" s="46"/>
      <c r="F142" s="212">
        <f t="shared" ca="1" si="2"/>
        <v>125</v>
      </c>
      <c r="G142" s="114"/>
      <c r="H142" s="46"/>
      <c r="I142" s="46"/>
      <c r="J142" s="46"/>
      <c r="K142" s="46"/>
      <c r="L142" s="46"/>
      <c r="M142" s="46"/>
      <c r="N142" s="46"/>
      <c r="O142" s="46"/>
      <c r="P142" s="46"/>
      <c r="Q142" s="46"/>
      <c r="R142" s="46"/>
      <c r="S142" s="46"/>
    </row>
    <row r="143" spans="1:19" hidden="1" x14ac:dyDescent="0.3">
      <c r="A143" s="46"/>
      <c r="B143" s="46"/>
      <c r="C143" s="210"/>
      <c r="D143" s="46"/>
      <c r="E143" s="46"/>
      <c r="F143" s="212">
        <f t="shared" ca="1" si="2"/>
        <v>125</v>
      </c>
      <c r="G143" s="114"/>
      <c r="H143" s="46"/>
      <c r="I143" s="46"/>
      <c r="J143" s="46"/>
      <c r="K143" s="46"/>
      <c r="L143" s="46"/>
      <c r="M143" s="46"/>
      <c r="N143" s="46"/>
      <c r="O143" s="46"/>
      <c r="P143" s="46"/>
      <c r="Q143" s="46"/>
      <c r="R143" s="46"/>
      <c r="S143" s="46"/>
    </row>
  </sheetData>
  <autoFilter ref="A4:S143" xr:uid="{B2E41230-C1B2-499E-8C51-26B813464464}">
    <filterColumn colId="0">
      <filters>
        <filter val="YAWALAPITI"/>
      </filters>
    </filterColumn>
  </autoFilter>
  <sortState xmlns:xlrd2="http://schemas.microsoft.com/office/spreadsheetml/2017/richdata2" ref="F5:G17">
    <sortCondition descending="1" ref="F5:F17"/>
  </sortState>
  <mergeCells count="1">
    <mergeCell ref="B2:Q2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ED052-5B78-46AA-AEB2-584F80165BCE}">
  <sheetPr>
    <tabColor rgb="FF9900CC"/>
  </sheetPr>
  <dimension ref="A1:I23"/>
  <sheetViews>
    <sheetView showGridLines="0" workbookViewId="0">
      <selection activeCell="I26" sqref="I26"/>
    </sheetView>
  </sheetViews>
  <sheetFormatPr defaultRowHeight="14.4" x14ac:dyDescent="0.3"/>
  <cols>
    <col min="1" max="1" width="27" customWidth="1"/>
    <col min="2" max="2" width="10.5546875" customWidth="1"/>
    <col min="3" max="3" width="12" bestFit="1" customWidth="1"/>
    <col min="4" max="4" width="21.88671875" bestFit="1" customWidth="1"/>
    <col min="5" max="6" width="14.88671875" customWidth="1"/>
    <col min="7" max="7" width="11.6640625" bestFit="1" customWidth="1"/>
    <col min="8" max="8" width="19.109375" customWidth="1"/>
    <col min="9" max="9" width="29.33203125" bestFit="1" customWidth="1"/>
  </cols>
  <sheetData>
    <row r="1" spans="1:9" ht="40.200000000000003" thickBot="1" x14ac:dyDescent="0.35">
      <c r="A1" s="75" t="s">
        <v>442</v>
      </c>
      <c r="B1" s="77" t="s">
        <v>235</v>
      </c>
      <c r="C1" s="77" t="s">
        <v>443</v>
      </c>
      <c r="D1" s="77" t="s">
        <v>233</v>
      </c>
      <c r="E1" s="76" t="s">
        <v>444</v>
      </c>
      <c r="F1" s="76" t="s">
        <v>445</v>
      </c>
      <c r="G1" s="76" t="s">
        <v>446</v>
      </c>
      <c r="H1" s="76" t="s">
        <v>447</v>
      </c>
      <c r="I1" s="6" t="s">
        <v>448</v>
      </c>
    </row>
    <row r="2" spans="1:9" x14ac:dyDescent="0.3">
      <c r="A2" s="41" t="s">
        <v>151</v>
      </c>
      <c r="B2" s="41" t="s">
        <v>449</v>
      </c>
      <c r="C2" s="41">
        <v>6595</v>
      </c>
      <c r="D2" s="41" t="s">
        <v>450</v>
      </c>
      <c r="E2" s="253">
        <v>44906</v>
      </c>
      <c r="F2" s="253">
        <v>44819</v>
      </c>
      <c r="G2" s="41" t="s">
        <v>451</v>
      </c>
      <c r="H2" s="41" t="s">
        <v>452</v>
      </c>
      <c r="I2" s="41" t="s">
        <v>453</v>
      </c>
    </row>
    <row r="3" spans="1:9" x14ac:dyDescent="0.3">
      <c r="A3" s="41"/>
      <c r="B3" s="41"/>
      <c r="C3" s="41"/>
      <c r="D3" s="41"/>
      <c r="E3" s="41"/>
      <c r="F3" s="41"/>
      <c r="G3" s="41"/>
      <c r="H3" s="41"/>
      <c r="I3" s="41"/>
    </row>
    <row r="4" spans="1:9" x14ac:dyDescent="0.3">
      <c r="A4" s="41"/>
      <c r="B4" s="41"/>
      <c r="C4" s="41"/>
      <c r="D4" s="41"/>
      <c r="E4" s="41"/>
      <c r="F4" s="41"/>
      <c r="G4" s="41"/>
      <c r="H4" s="41"/>
      <c r="I4" s="41"/>
    </row>
    <row r="5" spans="1:9" x14ac:dyDescent="0.3">
      <c r="A5" s="41"/>
      <c r="B5" s="41"/>
      <c r="C5" s="41"/>
      <c r="D5" s="41"/>
      <c r="E5" s="41"/>
      <c r="F5" s="41"/>
      <c r="G5" s="41"/>
      <c r="H5" s="41"/>
      <c r="I5" s="41"/>
    </row>
    <row r="6" spans="1:9" x14ac:dyDescent="0.3">
      <c r="A6" s="41"/>
      <c r="B6" s="41"/>
      <c r="C6" s="41"/>
      <c r="D6" s="41"/>
      <c r="E6" s="41"/>
      <c r="F6" s="41"/>
      <c r="G6" s="41"/>
      <c r="H6" s="41"/>
      <c r="I6" s="41"/>
    </row>
    <row r="7" spans="1:9" x14ac:dyDescent="0.3">
      <c r="A7" s="41"/>
      <c r="B7" s="41"/>
      <c r="C7" s="41"/>
      <c r="D7" s="41"/>
      <c r="E7" s="41"/>
      <c r="F7" s="41"/>
      <c r="G7" s="41"/>
      <c r="H7" s="41"/>
      <c r="I7" s="41"/>
    </row>
    <row r="8" spans="1:9" x14ac:dyDescent="0.3">
      <c r="A8" s="41"/>
      <c r="B8" s="41"/>
      <c r="C8" s="41"/>
      <c r="D8" s="41"/>
      <c r="E8" s="41"/>
      <c r="F8" s="41"/>
      <c r="G8" s="41"/>
      <c r="H8" s="41"/>
      <c r="I8" s="41"/>
    </row>
    <row r="9" spans="1:9" x14ac:dyDescent="0.3">
      <c r="A9" s="41"/>
      <c r="B9" s="41"/>
      <c r="C9" s="41"/>
      <c r="D9" s="41"/>
      <c r="E9" s="41"/>
      <c r="F9" s="41"/>
      <c r="G9" s="41"/>
      <c r="H9" s="41"/>
      <c r="I9" s="41"/>
    </row>
    <row r="10" spans="1:9" x14ac:dyDescent="0.3">
      <c r="A10" s="41"/>
      <c r="B10" s="41"/>
      <c r="C10" s="41"/>
      <c r="D10" s="41"/>
      <c r="E10" s="41"/>
      <c r="F10" s="41"/>
      <c r="G10" s="41"/>
      <c r="H10" s="41"/>
      <c r="I10" s="41"/>
    </row>
    <row r="11" spans="1:9" x14ac:dyDescent="0.3">
      <c r="A11" s="41"/>
      <c r="B11" s="41"/>
      <c r="C11" s="41"/>
      <c r="D11" s="41"/>
      <c r="E11" s="41"/>
      <c r="F11" s="41"/>
      <c r="G11" s="41"/>
      <c r="H11" s="41"/>
      <c r="I11" s="41"/>
    </row>
    <row r="12" spans="1:9" x14ac:dyDescent="0.3">
      <c r="A12" s="41"/>
      <c r="B12" s="41"/>
      <c r="C12" s="41"/>
      <c r="D12" s="41"/>
      <c r="E12" s="41"/>
      <c r="F12" s="41"/>
      <c r="G12" s="41"/>
      <c r="H12" s="41"/>
      <c r="I12" s="41"/>
    </row>
    <row r="13" spans="1:9" x14ac:dyDescent="0.3">
      <c r="A13" s="41"/>
      <c r="B13" s="41"/>
      <c r="C13" s="41"/>
      <c r="D13" s="41"/>
      <c r="E13" s="41"/>
      <c r="F13" s="41"/>
      <c r="G13" s="41"/>
      <c r="H13" s="41"/>
      <c r="I13" s="41"/>
    </row>
    <row r="14" spans="1:9" x14ac:dyDescent="0.3">
      <c r="A14" s="41"/>
      <c r="B14" s="41"/>
      <c r="C14" s="41"/>
      <c r="D14" s="41"/>
      <c r="E14" s="41"/>
      <c r="F14" s="41"/>
      <c r="G14" s="41"/>
      <c r="H14" s="41"/>
      <c r="I14" s="41"/>
    </row>
    <row r="15" spans="1:9" x14ac:dyDescent="0.3">
      <c r="A15" s="41"/>
      <c r="B15" s="41"/>
      <c r="C15" s="41"/>
      <c r="D15" s="41"/>
      <c r="E15" s="41"/>
      <c r="F15" s="41"/>
      <c r="G15" s="41"/>
      <c r="H15" s="41"/>
      <c r="I15" s="41"/>
    </row>
    <row r="16" spans="1:9" x14ac:dyDescent="0.3">
      <c r="A16" s="41"/>
      <c r="B16" s="41"/>
      <c r="C16" s="41"/>
      <c r="D16" s="41"/>
      <c r="E16" s="41"/>
      <c r="F16" s="41"/>
      <c r="G16" s="41"/>
      <c r="H16" s="41"/>
      <c r="I16" s="41"/>
    </row>
    <row r="17" spans="1:9" x14ac:dyDescent="0.3">
      <c r="A17" s="41"/>
      <c r="B17" s="41"/>
      <c r="C17" s="41"/>
      <c r="D17" s="41"/>
      <c r="E17" s="41"/>
      <c r="F17" s="41"/>
      <c r="G17" s="41"/>
      <c r="H17" s="41"/>
      <c r="I17" s="41"/>
    </row>
    <row r="18" spans="1:9" x14ac:dyDescent="0.3">
      <c r="A18" s="41"/>
      <c r="B18" s="41"/>
      <c r="C18" s="41"/>
      <c r="D18" s="41"/>
      <c r="E18" s="41"/>
      <c r="F18" s="41"/>
      <c r="G18" s="41"/>
      <c r="H18" s="41"/>
      <c r="I18" s="41"/>
    </row>
    <row r="19" spans="1:9" x14ac:dyDescent="0.3">
      <c r="A19" s="41"/>
      <c r="B19" s="41"/>
      <c r="C19" s="41"/>
      <c r="D19" s="41"/>
      <c r="E19" s="41"/>
      <c r="F19" s="41"/>
      <c r="G19" s="41"/>
      <c r="H19" s="41"/>
      <c r="I19" s="41"/>
    </row>
    <row r="20" spans="1:9" x14ac:dyDescent="0.3">
      <c r="A20" s="41"/>
      <c r="B20" s="41"/>
      <c r="C20" s="41"/>
      <c r="D20" s="41"/>
      <c r="E20" s="41"/>
      <c r="F20" s="41"/>
      <c r="G20" s="41"/>
      <c r="H20" s="41"/>
      <c r="I20" s="41"/>
    </row>
    <row r="21" spans="1:9" x14ac:dyDescent="0.3">
      <c r="A21" s="41"/>
      <c r="B21" s="41"/>
      <c r="C21" s="41"/>
      <c r="D21" s="41"/>
      <c r="E21" s="41"/>
      <c r="F21" s="41"/>
      <c r="G21" s="41"/>
      <c r="H21" s="41"/>
      <c r="I21" s="41"/>
    </row>
    <row r="22" spans="1:9" x14ac:dyDescent="0.3">
      <c r="A22" s="41"/>
      <c r="B22" s="41"/>
      <c r="C22" s="41"/>
      <c r="D22" s="41"/>
      <c r="E22" s="41"/>
      <c r="F22" s="41"/>
      <c r="G22" s="41"/>
      <c r="H22" s="41"/>
      <c r="I22" s="41"/>
    </row>
    <row r="23" spans="1:9" x14ac:dyDescent="0.3">
      <c r="A23" s="41"/>
      <c r="B23" s="41"/>
      <c r="C23" s="41"/>
      <c r="D23" s="41"/>
      <c r="E23" s="41"/>
      <c r="F23" s="41"/>
      <c r="G23" s="41"/>
      <c r="H23" s="41"/>
      <c r="I23" s="41"/>
    </row>
  </sheetData>
  <conditionalFormatting sqref="C1:C1048576">
    <cfRule type="duplicateValues" dxfId="145" priority="1"/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C00000"/>
    <pageSetUpPr fitToPage="1"/>
  </sheetPr>
  <dimension ref="A1:Q23"/>
  <sheetViews>
    <sheetView showGridLines="0" topLeftCell="C1" workbookViewId="0">
      <selection activeCell="K32" sqref="K32"/>
    </sheetView>
  </sheetViews>
  <sheetFormatPr defaultRowHeight="14.4" x14ac:dyDescent="0.3"/>
  <cols>
    <col min="1" max="1" width="42" customWidth="1"/>
    <col min="2" max="2" width="27" customWidth="1"/>
    <col min="3" max="3" width="5.6640625" bestFit="1" customWidth="1"/>
    <col min="4" max="4" width="6.44140625" bestFit="1" customWidth="1"/>
    <col min="5" max="5" width="8.109375" bestFit="1" customWidth="1"/>
    <col min="6" max="6" width="21.88671875" bestFit="1" customWidth="1"/>
    <col min="7" max="7" width="7.88671875" bestFit="1" customWidth="1"/>
    <col min="8" max="8" width="22.5546875" customWidth="1"/>
    <col min="9" max="9" width="14.88671875" customWidth="1"/>
    <col min="10" max="10" width="27.109375" customWidth="1"/>
    <col min="11" max="11" width="50.109375" customWidth="1"/>
    <col min="13" max="13" width="11.6640625" bestFit="1" customWidth="1"/>
    <col min="14" max="14" width="11.5546875" customWidth="1"/>
    <col min="15" max="15" width="21.44140625" customWidth="1"/>
    <col min="16" max="16" width="19.109375" customWidth="1"/>
    <col min="17" max="17" width="29.33203125" bestFit="1" customWidth="1"/>
  </cols>
  <sheetData>
    <row r="1" spans="1:17" ht="40.200000000000003" thickBot="1" x14ac:dyDescent="0.35">
      <c r="A1" s="74" t="s">
        <v>454</v>
      </c>
      <c r="B1" s="75" t="s">
        <v>442</v>
      </c>
      <c r="C1" s="76" t="s">
        <v>455</v>
      </c>
      <c r="D1" s="77" t="s">
        <v>235</v>
      </c>
      <c r="E1" s="77" t="s">
        <v>456</v>
      </c>
      <c r="F1" s="77" t="s">
        <v>233</v>
      </c>
      <c r="G1" s="77" t="s">
        <v>457</v>
      </c>
      <c r="H1" s="77" t="s">
        <v>249</v>
      </c>
      <c r="I1" s="76" t="s">
        <v>458</v>
      </c>
      <c r="J1" s="76" t="s">
        <v>459</v>
      </c>
      <c r="K1" s="77" t="s">
        <v>460</v>
      </c>
      <c r="L1" s="76" t="s">
        <v>461</v>
      </c>
      <c r="M1" s="76" t="s">
        <v>462</v>
      </c>
      <c r="N1" s="76" t="s">
        <v>463</v>
      </c>
      <c r="O1" s="76" t="s">
        <v>464</v>
      </c>
      <c r="P1" s="76" t="s">
        <v>465</v>
      </c>
      <c r="Q1" s="6" t="s">
        <v>448</v>
      </c>
    </row>
    <row r="2" spans="1:17" x14ac:dyDescent="0.3">
      <c r="A2" s="41"/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</row>
    <row r="3" spans="1:17" x14ac:dyDescent="0.3">
      <c r="A3" s="41"/>
      <c r="B3" s="41"/>
      <c r="C3" s="41"/>
      <c r="D3" s="41"/>
      <c r="E3" s="41"/>
      <c r="F3" s="41"/>
      <c r="G3" s="41"/>
      <c r="H3" s="41"/>
      <c r="I3" s="41"/>
      <c r="J3" s="41"/>
      <c r="K3" s="41"/>
      <c r="L3" s="41"/>
      <c r="M3" s="41"/>
      <c r="N3" s="41"/>
      <c r="O3" s="41"/>
      <c r="P3" s="41"/>
      <c r="Q3" s="41"/>
    </row>
    <row r="4" spans="1:17" x14ac:dyDescent="0.3">
      <c r="A4" s="41"/>
      <c r="B4" s="41"/>
      <c r="C4" s="41"/>
      <c r="D4" s="41"/>
      <c r="E4" s="41"/>
      <c r="F4" s="41"/>
      <c r="G4" s="41"/>
      <c r="H4" s="41"/>
      <c r="I4" s="41"/>
      <c r="J4" s="41"/>
      <c r="K4" s="41"/>
      <c r="L4" s="41"/>
      <c r="M4" s="41"/>
      <c r="N4" s="41"/>
      <c r="O4" s="41"/>
      <c r="P4" s="41"/>
      <c r="Q4" s="41"/>
    </row>
    <row r="5" spans="1:17" x14ac:dyDescent="0.3">
      <c r="A5" s="41"/>
      <c r="B5" s="41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</row>
    <row r="6" spans="1:17" x14ac:dyDescent="0.3">
      <c r="A6" s="41"/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</row>
    <row r="7" spans="1:17" x14ac:dyDescent="0.3">
      <c r="A7" s="41"/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</row>
    <row r="8" spans="1:17" x14ac:dyDescent="0.3">
      <c r="A8" s="41"/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</row>
    <row r="9" spans="1:17" x14ac:dyDescent="0.3">
      <c r="A9" s="41"/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</row>
    <row r="10" spans="1:17" x14ac:dyDescent="0.3">
      <c r="A10" s="41"/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</row>
    <row r="11" spans="1:17" x14ac:dyDescent="0.3">
      <c r="A11" s="41"/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</row>
    <row r="12" spans="1:17" x14ac:dyDescent="0.3">
      <c r="A12" s="41"/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</row>
    <row r="13" spans="1:17" x14ac:dyDescent="0.3">
      <c r="A13" s="41"/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</row>
    <row r="14" spans="1:17" x14ac:dyDescent="0.3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</row>
    <row r="15" spans="1:17" x14ac:dyDescent="0.3">
      <c r="A15" s="41"/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</row>
    <row r="16" spans="1:17" x14ac:dyDescent="0.3">
      <c r="A16" s="41"/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</row>
    <row r="17" spans="1:17" x14ac:dyDescent="0.3">
      <c r="A17" s="41"/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</row>
    <row r="18" spans="1:17" x14ac:dyDescent="0.3">
      <c r="A18" s="41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</row>
    <row r="19" spans="1:17" x14ac:dyDescent="0.3">
      <c r="A19" s="41"/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</row>
    <row r="20" spans="1:17" x14ac:dyDescent="0.3">
      <c r="A20" s="41"/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</row>
    <row r="21" spans="1:17" x14ac:dyDescent="0.3">
      <c r="A21" s="41"/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</row>
    <row r="22" spans="1:17" x14ac:dyDescent="0.3">
      <c r="A22" s="41"/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</row>
    <row r="23" spans="1:17" x14ac:dyDescent="0.3">
      <c r="A23" s="41"/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</row>
  </sheetData>
  <conditionalFormatting sqref="E1:E1048576">
    <cfRule type="duplicateValues" dxfId="144" priority="72073"/>
  </conditionalFormatting>
  <pageMargins left="0.511811024" right="0.511811024" top="0.78740157499999996" bottom="0.78740157499999996" header="0.31496062000000002" footer="0.31496062000000002"/>
  <pageSetup paperSize="9" scale="44" fitToHeight="0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1"/>
    <pageSetUpPr fitToPage="1"/>
  </sheetPr>
  <dimension ref="A1:X57"/>
  <sheetViews>
    <sheetView showGridLines="0" workbookViewId="0">
      <pane ySplit="2" topLeftCell="A3" activePane="bottomLeft" state="frozenSplit"/>
      <selection pane="bottomLeft" activeCell="H19" sqref="H19"/>
    </sheetView>
  </sheetViews>
  <sheetFormatPr defaultRowHeight="14.4" x14ac:dyDescent="0.3"/>
  <cols>
    <col min="1" max="1" width="20.88671875" style="1" customWidth="1"/>
    <col min="2" max="2" width="6.44140625" style="1" customWidth="1"/>
    <col min="3" max="3" width="14.5546875" style="1" customWidth="1"/>
    <col min="4" max="4" width="22.5546875" style="1" customWidth="1"/>
    <col min="5" max="5" width="18.33203125" style="3" customWidth="1"/>
    <col min="6" max="6" width="5.6640625" style="1" customWidth="1"/>
    <col min="7" max="7" width="13.109375" style="1" customWidth="1"/>
    <col min="8" max="8" width="13.6640625" style="1" customWidth="1"/>
    <col min="9" max="9" width="6.88671875" style="1" customWidth="1"/>
    <col min="10" max="10" width="10.33203125" style="1" customWidth="1"/>
    <col min="11" max="11" width="6.44140625" customWidth="1"/>
    <col min="12" max="12" width="23.6640625" customWidth="1"/>
    <col min="13" max="13" width="9.33203125" customWidth="1"/>
    <col min="14" max="14" width="21.33203125" customWidth="1"/>
    <col min="15" max="15" width="13.88671875" customWidth="1"/>
    <col min="16" max="16" width="26.88671875" customWidth="1"/>
    <col min="17" max="17" width="35.5546875" customWidth="1"/>
    <col min="18" max="18" width="13.88671875" customWidth="1"/>
    <col min="19" max="19" width="14.88671875" customWidth="1"/>
    <col min="20" max="20" width="15.33203125" customWidth="1"/>
    <col min="21" max="21" width="14.88671875" customWidth="1"/>
    <col min="22" max="22" width="20.33203125" customWidth="1"/>
    <col min="23" max="23" width="36.88671875" customWidth="1"/>
    <col min="24" max="24" width="22.5546875" customWidth="1"/>
    <col min="258" max="258" width="5.6640625" customWidth="1"/>
    <col min="259" max="259" width="6.44140625" customWidth="1"/>
    <col min="260" max="260" width="10.44140625" customWidth="1"/>
    <col min="261" max="261" width="9.5546875" customWidth="1"/>
    <col min="262" max="262" width="11" customWidth="1"/>
    <col min="263" max="263" width="5.6640625" customWidth="1"/>
    <col min="264" max="264" width="9.44140625" bestFit="1" customWidth="1"/>
    <col min="265" max="265" width="11.33203125" customWidth="1"/>
    <col min="266" max="266" width="6.88671875" customWidth="1"/>
    <col min="267" max="267" width="8.33203125" customWidth="1"/>
    <col min="268" max="268" width="15.44140625" customWidth="1"/>
    <col min="269" max="269" width="4.33203125" customWidth="1"/>
    <col min="270" max="270" width="19" customWidth="1"/>
    <col min="271" max="271" width="10.88671875" customWidth="1"/>
    <col min="272" max="272" width="11.6640625" customWidth="1"/>
    <col min="273" max="273" width="27.6640625" customWidth="1"/>
    <col min="274" max="274" width="6" customWidth="1"/>
    <col min="275" max="275" width="12.109375" customWidth="1"/>
    <col min="276" max="276" width="10.33203125" customWidth="1"/>
    <col min="277" max="277" width="10.109375" customWidth="1"/>
    <col min="278" max="278" width="11.44140625" customWidth="1"/>
    <col min="279" max="279" width="15.109375" customWidth="1"/>
    <col min="280" max="280" width="15.44140625" customWidth="1"/>
    <col min="514" max="514" width="5.6640625" customWidth="1"/>
    <col min="515" max="515" width="6.44140625" customWidth="1"/>
    <col min="516" max="516" width="10.44140625" customWidth="1"/>
    <col min="517" max="517" width="9.5546875" customWidth="1"/>
    <col min="518" max="518" width="11" customWidth="1"/>
    <col min="519" max="519" width="5.6640625" customWidth="1"/>
    <col min="520" max="520" width="9.44140625" bestFit="1" customWidth="1"/>
    <col min="521" max="521" width="11.33203125" customWidth="1"/>
    <col min="522" max="522" width="6.88671875" customWidth="1"/>
    <col min="523" max="523" width="8.33203125" customWidth="1"/>
    <col min="524" max="524" width="15.44140625" customWidth="1"/>
    <col min="525" max="525" width="4.33203125" customWidth="1"/>
    <col min="526" max="526" width="19" customWidth="1"/>
    <col min="527" max="527" width="10.88671875" customWidth="1"/>
    <col min="528" max="528" width="11.6640625" customWidth="1"/>
    <col min="529" max="529" width="27.6640625" customWidth="1"/>
    <col min="530" max="530" width="6" customWidth="1"/>
    <col min="531" max="531" width="12.109375" customWidth="1"/>
    <col min="532" max="532" width="10.33203125" customWidth="1"/>
    <col min="533" max="533" width="10.109375" customWidth="1"/>
    <col min="534" max="534" width="11.44140625" customWidth="1"/>
    <col min="535" max="535" width="15.109375" customWidth="1"/>
    <col min="536" max="536" width="15.44140625" customWidth="1"/>
    <col min="770" max="770" width="5.6640625" customWidth="1"/>
    <col min="771" max="771" width="6.44140625" customWidth="1"/>
    <col min="772" max="772" width="10.44140625" customWidth="1"/>
    <col min="773" max="773" width="9.5546875" customWidth="1"/>
    <col min="774" max="774" width="11" customWidth="1"/>
    <col min="775" max="775" width="5.6640625" customWidth="1"/>
    <col min="776" max="776" width="9.44140625" bestFit="1" customWidth="1"/>
    <col min="777" max="777" width="11.33203125" customWidth="1"/>
    <col min="778" max="778" width="6.88671875" customWidth="1"/>
    <col min="779" max="779" width="8.33203125" customWidth="1"/>
    <col min="780" max="780" width="15.44140625" customWidth="1"/>
    <col min="781" max="781" width="4.33203125" customWidth="1"/>
    <col min="782" max="782" width="19" customWidth="1"/>
    <col min="783" max="783" width="10.88671875" customWidth="1"/>
    <col min="784" max="784" width="11.6640625" customWidth="1"/>
    <col min="785" max="785" width="27.6640625" customWidth="1"/>
    <col min="786" max="786" width="6" customWidth="1"/>
    <col min="787" max="787" width="12.109375" customWidth="1"/>
    <col min="788" max="788" width="10.33203125" customWidth="1"/>
    <col min="789" max="789" width="10.109375" customWidth="1"/>
    <col min="790" max="790" width="11.44140625" customWidth="1"/>
    <col min="791" max="791" width="15.109375" customWidth="1"/>
    <col min="792" max="792" width="15.44140625" customWidth="1"/>
    <col min="1026" max="1026" width="5.6640625" customWidth="1"/>
    <col min="1027" max="1027" width="6.44140625" customWidth="1"/>
    <col min="1028" max="1028" width="10.44140625" customWidth="1"/>
    <col min="1029" max="1029" width="9.5546875" customWidth="1"/>
    <col min="1030" max="1030" width="11" customWidth="1"/>
    <col min="1031" max="1031" width="5.6640625" customWidth="1"/>
    <col min="1032" max="1032" width="9.44140625" bestFit="1" customWidth="1"/>
    <col min="1033" max="1033" width="11.33203125" customWidth="1"/>
    <col min="1034" max="1034" width="6.88671875" customWidth="1"/>
    <col min="1035" max="1035" width="8.33203125" customWidth="1"/>
    <col min="1036" max="1036" width="15.44140625" customWidth="1"/>
    <col min="1037" max="1037" width="4.33203125" customWidth="1"/>
    <col min="1038" max="1038" width="19" customWidth="1"/>
    <col min="1039" max="1039" width="10.88671875" customWidth="1"/>
    <col min="1040" max="1040" width="11.6640625" customWidth="1"/>
    <col min="1041" max="1041" width="27.6640625" customWidth="1"/>
    <col min="1042" max="1042" width="6" customWidth="1"/>
    <col min="1043" max="1043" width="12.109375" customWidth="1"/>
    <col min="1044" max="1044" width="10.33203125" customWidth="1"/>
    <col min="1045" max="1045" width="10.109375" customWidth="1"/>
    <col min="1046" max="1046" width="11.44140625" customWidth="1"/>
    <col min="1047" max="1047" width="15.109375" customWidth="1"/>
    <col min="1048" max="1048" width="15.44140625" customWidth="1"/>
    <col min="1282" max="1282" width="5.6640625" customWidth="1"/>
    <col min="1283" max="1283" width="6.44140625" customWidth="1"/>
    <col min="1284" max="1284" width="10.44140625" customWidth="1"/>
    <col min="1285" max="1285" width="9.5546875" customWidth="1"/>
    <col min="1286" max="1286" width="11" customWidth="1"/>
    <col min="1287" max="1287" width="5.6640625" customWidth="1"/>
    <col min="1288" max="1288" width="9.44140625" bestFit="1" customWidth="1"/>
    <col min="1289" max="1289" width="11.33203125" customWidth="1"/>
    <col min="1290" max="1290" width="6.88671875" customWidth="1"/>
    <col min="1291" max="1291" width="8.33203125" customWidth="1"/>
    <col min="1292" max="1292" width="15.44140625" customWidth="1"/>
    <col min="1293" max="1293" width="4.33203125" customWidth="1"/>
    <col min="1294" max="1294" width="19" customWidth="1"/>
    <col min="1295" max="1295" width="10.88671875" customWidth="1"/>
    <col min="1296" max="1296" width="11.6640625" customWidth="1"/>
    <col min="1297" max="1297" width="27.6640625" customWidth="1"/>
    <col min="1298" max="1298" width="6" customWidth="1"/>
    <col min="1299" max="1299" width="12.109375" customWidth="1"/>
    <col min="1300" max="1300" width="10.33203125" customWidth="1"/>
    <col min="1301" max="1301" width="10.109375" customWidth="1"/>
    <col min="1302" max="1302" width="11.44140625" customWidth="1"/>
    <col min="1303" max="1303" width="15.109375" customWidth="1"/>
    <col min="1304" max="1304" width="15.44140625" customWidth="1"/>
    <col min="1538" max="1538" width="5.6640625" customWidth="1"/>
    <col min="1539" max="1539" width="6.44140625" customWidth="1"/>
    <col min="1540" max="1540" width="10.44140625" customWidth="1"/>
    <col min="1541" max="1541" width="9.5546875" customWidth="1"/>
    <col min="1542" max="1542" width="11" customWidth="1"/>
    <col min="1543" max="1543" width="5.6640625" customWidth="1"/>
    <col min="1544" max="1544" width="9.44140625" bestFit="1" customWidth="1"/>
    <col min="1545" max="1545" width="11.33203125" customWidth="1"/>
    <col min="1546" max="1546" width="6.88671875" customWidth="1"/>
    <col min="1547" max="1547" width="8.33203125" customWidth="1"/>
    <col min="1548" max="1548" width="15.44140625" customWidth="1"/>
    <col min="1549" max="1549" width="4.33203125" customWidth="1"/>
    <col min="1550" max="1550" width="19" customWidth="1"/>
    <col min="1551" max="1551" width="10.88671875" customWidth="1"/>
    <col min="1552" max="1552" width="11.6640625" customWidth="1"/>
    <col min="1553" max="1553" width="27.6640625" customWidth="1"/>
    <col min="1554" max="1554" width="6" customWidth="1"/>
    <col min="1555" max="1555" width="12.109375" customWidth="1"/>
    <col min="1556" max="1556" width="10.33203125" customWidth="1"/>
    <col min="1557" max="1557" width="10.109375" customWidth="1"/>
    <col min="1558" max="1558" width="11.44140625" customWidth="1"/>
    <col min="1559" max="1559" width="15.109375" customWidth="1"/>
    <col min="1560" max="1560" width="15.44140625" customWidth="1"/>
    <col min="1794" max="1794" width="5.6640625" customWidth="1"/>
    <col min="1795" max="1795" width="6.44140625" customWidth="1"/>
    <col min="1796" max="1796" width="10.44140625" customWidth="1"/>
    <col min="1797" max="1797" width="9.5546875" customWidth="1"/>
    <col min="1798" max="1798" width="11" customWidth="1"/>
    <col min="1799" max="1799" width="5.6640625" customWidth="1"/>
    <col min="1800" max="1800" width="9.44140625" bestFit="1" customWidth="1"/>
    <col min="1801" max="1801" width="11.33203125" customWidth="1"/>
    <col min="1802" max="1802" width="6.88671875" customWidth="1"/>
    <col min="1803" max="1803" width="8.33203125" customWidth="1"/>
    <col min="1804" max="1804" width="15.44140625" customWidth="1"/>
    <col min="1805" max="1805" width="4.33203125" customWidth="1"/>
    <col min="1806" max="1806" width="19" customWidth="1"/>
    <col min="1807" max="1807" width="10.88671875" customWidth="1"/>
    <col min="1808" max="1808" width="11.6640625" customWidth="1"/>
    <col min="1809" max="1809" width="27.6640625" customWidth="1"/>
    <col min="1810" max="1810" width="6" customWidth="1"/>
    <col min="1811" max="1811" width="12.109375" customWidth="1"/>
    <col min="1812" max="1812" width="10.33203125" customWidth="1"/>
    <col min="1813" max="1813" width="10.109375" customWidth="1"/>
    <col min="1814" max="1814" width="11.44140625" customWidth="1"/>
    <col min="1815" max="1815" width="15.109375" customWidth="1"/>
    <col min="1816" max="1816" width="15.44140625" customWidth="1"/>
    <col min="2050" max="2050" width="5.6640625" customWidth="1"/>
    <col min="2051" max="2051" width="6.44140625" customWidth="1"/>
    <col min="2052" max="2052" width="10.44140625" customWidth="1"/>
    <col min="2053" max="2053" width="9.5546875" customWidth="1"/>
    <col min="2054" max="2054" width="11" customWidth="1"/>
    <col min="2055" max="2055" width="5.6640625" customWidth="1"/>
    <col min="2056" max="2056" width="9.44140625" bestFit="1" customWidth="1"/>
    <col min="2057" max="2057" width="11.33203125" customWidth="1"/>
    <col min="2058" max="2058" width="6.88671875" customWidth="1"/>
    <col min="2059" max="2059" width="8.33203125" customWidth="1"/>
    <col min="2060" max="2060" width="15.44140625" customWidth="1"/>
    <col min="2061" max="2061" width="4.33203125" customWidth="1"/>
    <col min="2062" max="2062" width="19" customWidth="1"/>
    <col min="2063" max="2063" width="10.88671875" customWidth="1"/>
    <col min="2064" max="2064" width="11.6640625" customWidth="1"/>
    <col min="2065" max="2065" width="27.6640625" customWidth="1"/>
    <col min="2066" max="2066" width="6" customWidth="1"/>
    <col min="2067" max="2067" width="12.109375" customWidth="1"/>
    <col min="2068" max="2068" width="10.33203125" customWidth="1"/>
    <col min="2069" max="2069" width="10.109375" customWidth="1"/>
    <col min="2070" max="2070" width="11.44140625" customWidth="1"/>
    <col min="2071" max="2071" width="15.109375" customWidth="1"/>
    <col min="2072" max="2072" width="15.44140625" customWidth="1"/>
    <col min="2306" max="2306" width="5.6640625" customWidth="1"/>
    <col min="2307" max="2307" width="6.44140625" customWidth="1"/>
    <col min="2308" max="2308" width="10.44140625" customWidth="1"/>
    <col min="2309" max="2309" width="9.5546875" customWidth="1"/>
    <col min="2310" max="2310" width="11" customWidth="1"/>
    <col min="2311" max="2311" width="5.6640625" customWidth="1"/>
    <col min="2312" max="2312" width="9.44140625" bestFit="1" customWidth="1"/>
    <col min="2313" max="2313" width="11.33203125" customWidth="1"/>
    <col min="2314" max="2314" width="6.88671875" customWidth="1"/>
    <col min="2315" max="2315" width="8.33203125" customWidth="1"/>
    <col min="2316" max="2316" width="15.44140625" customWidth="1"/>
    <col min="2317" max="2317" width="4.33203125" customWidth="1"/>
    <col min="2318" max="2318" width="19" customWidth="1"/>
    <col min="2319" max="2319" width="10.88671875" customWidth="1"/>
    <col min="2320" max="2320" width="11.6640625" customWidth="1"/>
    <col min="2321" max="2321" width="27.6640625" customWidth="1"/>
    <col min="2322" max="2322" width="6" customWidth="1"/>
    <col min="2323" max="2323" width="12.109375" customWidth="1"/>
    <col min="2324" max="2324" width="10.33203125" customWidth="1"/>
    <col min="2325" max="2325" width="10.109375" customWidth="1"/>
    <col min="2326" max="2326" width="11.44140625" customWidth="1"/>
    <col min="2327" max="2327" width="15.109375" customWidth="1"/>
    <col min="2328" max="2328" width="15.44140625" customWidth="1"/>
    <col min="2562" max="2562" width="5.6640625" customWidth="1"/>
    <col min="2563" max="2563" width="6.44140625" customWidth="1"/>
    <col min="2564" max="2564" width="10.44140625" customWidth="1"/>
    <col min="2565" max="2565" width="9.5546875" customWidth="1"/>
    <col min="2566" max="2566" width="11" customWidth="1"/>
    <col min="2567" max="2567" width="5.6640625" customWidth="1"/>
    <col min="2568" max="2568" width="9.44140625" bestFit="1" customWidth="1"/>
    <col min="2569" max="2569" width="11.33203125" customWidth="1"/>
    <col min="2570" max="2570" width="6.88671875" customWidth="1"/>
    <col min="2571" max="2571" width="8.33203125" customWidth="1"/>
    <col min="2572" max="2572" width="15.44140625" customWidth="1"/>
    <col min="2573" max="2573" width="4.33203125" customWidth="1"/>
    <col min="2574" max="2574" width="19" customWidth="1"/>
    <col min="2575" max="2575" width="10.88671875" customWidth="1"/>
    <col min="2576" max="2576" width="11.6640625" customWidth="1"/>
    <col min="2577" max="2577" width="27.6640625" customWidth="1"/>
    <col min="2578" max="2578" width="6" customWidth="1"/>
    <col min="2579" max="2579" width="12.109375" customWidth="1"/>
    <col min="2580" max="2580" width="10.33203125" customWidth="1"/>
    <col min="2581" max="2581" width="10.109375" customWidth="1"/>
    <col min="2582" max="2582" width="11.44140625" customWidth="1"/>
    <col min="2583" max="2583" width="15.109375" customWidth="1"/>
    <col min="2584" max="2584" width="15.44140625" customWidth="1"/>
    <col min="2818" max="2818" width="5.6640625" customWidth="1"/>
    <col min="2819" max="2819" width="6.44140625" customWidth="1"/>
    <col min="2820" max="2820" width="10.44140625" customWidth="1"/>
    <col min="2821" max="2821" width="9.5546875" customWidth="1"/>
    <col min="2822" max="2822" width="11" customWidth="1"/>
    <col min="2823" max="2823" width="5.6640625" customWidth="1"/>
    <col min="2824" max="2824" width="9.44140625" bestFit="1" customWidth="1"/>
    <col min="2825" max="2825" width="11.33203125" customWidth="1"/>
    <col min="2826" max="2826" width="6.88671875" customWidth="1"/>
    <col min="2827" max="2827" width="8.33203125" customWidth="1"/>
    <col min="2828" max="2828" width="15.44140625" customWidth="1"/>
    <col min="2829" max="2829" width="4.33203125" customWidth="1"/>
    <col min="2830" max="2830" width="19" customWidth="1"/>
    <col min="2831" max="2831" width="10.88671875" customWidth="1"/>
    <col min="2832" max="2832" width="11.6640625" customWidth="1"/>
    <col min="2833" max="2833" width="27.6640625" customWidth="1"/>
    <col min="2834" max="2834" width="6" customWidth="1"/>
    <col min="2835" max="2835" width="12.109375" customWidth="1"/>
    <col min="2836" max="2836" width="10.33203125" customWidth="1"/>
    <col min="2837" max="2837" width="10.109375" customWidth="1"/>
    <col min="2838" max="2838" width="11.44140625" customWidth="1"/>
    <col min="2839" max="2839" width="15.109375" customWidth="1"/>
    <col min="2840" max="2840" width="15.44140625" customWidth="1"/>
    <col min="3074" max="3074" width="5.6640625" customWidth="1"/>
    <col min="3075" max="3075" width="6.44140625" customWidth="1"/>
    <col min="3076" max="3076" width="10.44140625" customWidth="1"/>
    <col min="3077" max="3077" width="9.5546875" customWidth="1"/>
    <col min="3078" max="3078" width="11" customWidth="1"/>
    <col min="3079" max="3079" width="5.6640625" customWidth="1"/>
    <col min="3080" max="3080" width="9.44140625" bestFit="1" customWidth="1"/>
    <col min="3081" max="3081" width="11.33203125" customWidth="1"/>
    <col min="3082" max="3082" width="6.88671875" customWidth="1"/>
    <col min="3083" max="3083" width="8.33203125" customWidth="1"/>
    <col min="3084" max="3084" width="15.44140625" customWidth="1"/>
    <col min="3085" max="3085" width="4.33203125" customWidth="1"/>
    <col min="3086" max="3086" width="19" customWidth="1"/>
    <col min="3087" max="3087" width="10.88671875" customWidth="1"/>
    <col min="3088" max="3088" width="11.6640625" customWidth="1"/>
    <col min="3089" max="3089" width="27.6640625" customWidth="1"/>
    <col min="3090" max="3090" width="6" customWidth="1"/>
    <col min="3091" max="3091" width="12.109375" customWidth="1"/>
    <col min="3092" max="3092" width="10.33203125" customWidth="1"/>
    <col min="3093" max="3093" width="10.109375" customWidth="1"/>
    <col min="3094" max="3094" width="11.44140625" customWidth="1"/>
    <col min="3095" max="3095" width="15.109375" customWidth="1"/>
    <col min="3096" max="3096" width="15.44140625" customWidth="1"/>
    <col min="3330" max="3330" width="5.6640625" customWidth="1"/>
    <col min="3331" max="3331" width="6.44140625" customWidth="1"/>
    <col min="3332" max="3332" width="10.44140625" customWidth="1"/>
    <col min="3333" max="3333" width="9.5546875" customWidth="1"/>
    <col min="3334" max="3334" width="11" customWidth="1"/>
    <col min="3335" max="3335" width="5.6640625" customWidth="1"/>
    <col min="3336" max="3336" width="9.44140625" bestFit="1" customWidth="1"/>
    <col min="3337" max="3337" width="11.33203125" customWidth="1"/>
    <col min="3338" max="3338" width="6.88671875" customWidth="1"/>
    <col min="3339" max="3339" width="8.33203125" customWidth="1"/>
    <col min="3340" max="3340" width="15.44140625" customWidth="1"/>
    <col min="3341" max="3341" width="4.33203125" customWidth="1"/>
    <col min="3342" max="3342" width="19" customWidth="1"/>
    <col min="3343" max="3343" width="10.88671875" customWidth="1"/>
    <col min="3344" max="3344" width="11.6640625" customWidth="1"/>
    <col min="3345" max="3345" width="27.6640625" customWidth="1"/>
    <col min="3346" max="3346" width="6" customWidth="1"/>
    <col min="3347" max="3347" width="12.109375" customWidth="1"/>
    <col min="3348" max="3348" width="10.33203125" customWidth="1"/>
    <col min="3349" max="3349" width="10.109375" customWidth="1"/>
    <col min="3350" max="3350" width="11.44140625" customWidth="1"/>
    <col min="3351" max="3351" width="15.109375" customWidth="1"/>
    <col min="3352" max="3352" width="15.44140625" customWidth="1"/>
    <col min="3586" max="3586" width="5.6640625" customWidth="1"/>
    <col min="3587" max="3587" width="6.44140625" customWidth="1"/>
    <col min="3588" max="3588" width="10.44140625" customWidth="1"/>
    <col min="3589" max="3589" width="9.5546875" customWidth="1"/>
    <col min="3590" max="3590" width="11" customWidth="1"/>
    <col min="3591" max="3591" width="5.6640625" customWidth="1"/>
    <col min="3592" max="3592" width="9.44140625" bestFit="1" customWidth="1"/>
    <col min="3593" max="3593" width="11.33203125" customWidth="1"/>
    <col min="3594" max="3594" width="6.88671875" customWidth="1"/>
    <col min="3595" max="3595" width="8.33203125" customWidth="1"/>
    <col min="3596" max="3596" width="15.44140625" customWidth="1"/>
    <col min="3597" max="3597" width="4.33203125" customWidth="1"/>
    <col min="3598" max="3598" width="19" customWidth="1"/>
    <col min="3599" max="3599" width="10.88671875" customWidth="1"/>
    <col min="3600" max="3600" width="11.6640625" customWidth="1"/>
    <col min="3601" max="3601" width="27.6640625" customWidth="1"/>
    <col min="3602" max="3602" width="6" customWidth="1"/>
    <col min="3603" max="3603" width="12.109375" customWidth="1"/>
    <col min="3604" max="3604" width="10.33203125" customWidth="1"/>
    <col min="3605" max="3605" width="10.109375" customWidth="1"/>
    <col min="3606" max="3606" width="11.44140625" customWidth="1"/>
    <col min="3607" max="3607" width="15.109375" customWidth="1"/>
    <col min="3608" max="3608" width="15.44140625" customWidth="1"/>
    <col min="3842" max="3842" width="5.6640625" customWidth="1"/>
    <col min="3843" max="3843" width="6.44140625" customWidth="1"/>
    <col min="3844" max="3844" width="10.44140625" customWidth="1"/>
    <col min="3845" max="3845" width="9.5546875" customWidth="1"/>
    <col min="3846" max="3846" width="11" customWidth="1"/>
    <col min="3847" max="3847" width="5.6640625" customWidth="1"/>
    <col min="3848" max="3848" width="9.44140625" bestFit="1" customWidth="1"/>
    <col min="3849" max="3849" width="11.33203125" customWidth="1"/>
    <col min="3850" max="3850" width="6.88671875" customWidth="1"/>
    <col min="3851" max="3851" width="8.33203125" customWidth="1"/>
    <col min="3852" max="3852" width="15.44140625" customWidth="1"/>
    <col min="3853" max="3853" width="4.33203125" customWidth="1"/>
    <col min="3854" max="3854" width="19" customWidth="1"/>
    <col min="3855" max="3855" width="10.88671875" customWidth="1"/>
    <col min="3856" max="3856" width="11.6640625" customWidth="1"/>
    <col min="3857" max="3857" width="27.6640625" customWidth="1"/>
    <col min="3858" max="3858" width="6" customWidth="1"/>
    <col min="3859" max="3859" width="12.109375" customWidth="1"/>
    <col min="3860" max="3860" width="10.33203125" customWidth="1"/>
    <col min="3861" max="3861" width="10.109375" customWidth="1"/>
    <col min="3862" max="3862" width="11.44140625" customWidth="1"/>
    <col min="3863" max="3863" width="15.109375" customWidth="1"/>
    <col min="3864" max="3864" width="15.44140625" customWidth="1"/>
    <col min="4098" max="4098" width="5.6640625" customWidth="1"/>
    <col min="4099" max="4099" width="6.44140625" customWidth="1"/>
    <col min="4100" max="4100" width="10.44140625" customWidth="1"/>
    <col min="4101" max="4101" width="9.5546875" customWidth="1"/>
    <col min="4102" max="4102" width="11" customWidth="1"/>
    <col min="4103" max="4103" width="5.6640625" customWidth="1"/>
    <col min="4104" max="4104" width="9.44140625" bestFit="1" customWidth="1"/>
    <col min="4105" max="4105" width="11.33203125" customWidth="1"/>
    <col min="4106" max="4106" width="6.88671875" customWidth="1"/>
    <col min="4107" max="4107" width="8.33203125" customWidth="1"/>
    <col min="4108" max="4108" width="15.44140625" customWidth="1"/>
    <col min="4109" max="4109" width="4.33203125" customWidth="1"/>
    <col min="4110" max="4110" width="19" customWidth="1"/>
    <col min="4111" max="4111" width="10.88671875" customWidth="1"/>
    <col min="4112" max="4112" width="11.6640625" customWidth="1"/>
    <col min="4113" max="4113" width="27.6640625" customWidth="1"/>
    <col min="4114" max="4114" width="6" customWidth="1"/>
    <col min="4115" max="4115" width="12.109375" customWidth="1"/>
    <col min="4116" max="4116" width="10.33203125" customWidth="1"/>
    <col min="4117" max="4117" width="10.109375" customWidth="1"/>
    <col min="4118" max="4118" width="11.44140625" customWidth="1"/>
    <col min="4119" max="4119" width="15.109375" customWidth="1"/>
    <col min="4120" max="4120" width="15.44140625" customWidth="1"/>
    <col min="4354" max="4354" width="5.6640625" customWidth="1"/>
    <col min="4355" max="4355" width="6.44140625" customWidth="1"/>
    <col min="4356" max="4356" width="10.44140625" customWidth="1"/>
    <col min="4357" max="4357" width="9.5546875" customWidth="1"/>
    <col min="4358" max="4358" width="11" customWidth="1"/>
    <col min="4359" max="4359" width="5.6640625" customWidth="1"/>
    <col min="4360" max="4360" width="9.44140625" bestFit="1" customWidth="1"/>
    <col min="4361" max="4361" width="11.33203125" customWidth="1"/>
    <col min="4362" max="4362" width="6.88671875" customWidth="1"/>
    <col min="4363" max="4363" width="8.33203125" customWidth="1"/>
    <col min="4364" max="4364" width="15.44140625" customWidth="1"/>
    <col min="4365" max="4365" width="4.33203125" customWidth="1"/>
    <col min="4366" max="4366" width="19" customWidth="1"/>
    <col min="4367" max="4367" width="10.88671875" customWidth="1"/>
    <col min="4368" max="4368" width="11.6640625" customWidth="1"/>
    <col min="4369" max="4369" width="27.6640625" customWidth="1"/>
    <col min="4370" max="4370" width="6" customWidth="1"/>
    <col min="4371" max="4371" width="12.109375" customWidth="1"/>
    <col min="4372" max="4372" width="10.33203125" customWidth="1"/>
    <col min="4373" max="4373" width="10.109375" customWidth="1"/>
    <col min="4374" max="4374" width="11.44140625" customWidth="1"/>
    <col min="4375" max="4375" width="15.109375" customWidth="1"/>
    <col min="4376" max="4376" width="15.44140625" customWidth="1"/>
    <col min="4610" max="4610" width="5.6640625" customWidth="1"/>
    <col min="4611" max="4611" width="6.44140625" customWidth="1"/>
    <col min="4612" max="4612" width="10.44140625" customWidth="1"/>
    <col min="4613" max="4613" width="9.5546875" customWidth="1"/>
    <col min="4614" max="4614" width="11" customWidth="1"/>
    <col min="4615" max="4615" width="5.6640625" customWidth="1"/>
    <col min="4616" max="4616" width="9.44140625" bestFit="1" customWidth="1"/>
    <col min="4617" max="4617" width="11.33203125" customWidth="1"/>
    <col min="4618" max="4618" width="6.88671875" customWidth="1"/>
    <col min="4619" max="4619" width="8.33203125" customWidth="1"/>
    <col min="4620" max="4620" width="15.44140625" customWidth="1"/>
    <col min="4621" max="4621" width="4.33203125" customWidth="1"/>
    <col min="4622" max="4622" width="19" customWidth="1"/>
    <col min="4623" max="4623" width="10.88671875" customWidth="1"/>
    <col min="4624" max="4624" width="11.6640625" customWidth="1"/>
    <col min="4625" max="4625" width="27.6640625" customWidth="1"/>
    <col min="4626" max="4626" width="6" customWidth="1"/>
    <col min="4627" max="4627" width="12.109375" customWidth="1"/>
    <col min="4628" max="4628" width="10.33203125" customWidth="1"/>
    <col min="4629" max="4629" width="10.109375" customWidth="1"/>
    <col min="4630" max="4630" width="11.44140625" customWidth="1"/>
    <col min="4631" max="4631" width="15.109375" customWidth="1"/>
    <col min="4632" max="4632" width="15.44140625" customWidth="1"/>
    <col min="4866" max="4866" width="5.6640625" customWidth="1"/>
    <col min="4867" max="4867" width="6.44140625" customWidth="1"/>
    <col min="4868" max="4868" width="10.44140625" customWidth="1"/>
    <col min="4869" max="4869" width="9.5546875" customWidth="1"/>
    <col min="4870" max="4870" width="11" customWidth="1"/>
    <col min="4871" max="4871" width="5.6640625" customWidth="1"/>
    <col min="4872" max="4872" width="9.44140625" bestFit="1" customWidth="1"/>
    <col min="4873" max="4873" width="11.33203125" customWidth="1"/>
    <col min="4874" max="4874" width="6.88671875" customWidth="1"/>
    <col min="4875" max="4875" width="8.33203125" customWidth="1"/>
    <col min="4876" max="4876" width="15.44140625" customWidth="1"/>
    <col min="4877" max="4877" width="4.33203125" customWidth="1"/>
    <col min="4878" max="4878" width="19" customWidth="1"/>
    <col min="4879" max="4879" width="10.88671875" customWidth="1"/>
    <col min="4880" max="4880" width="11.6640625" customWidth="1"/>
    <col min="4881" max="4881" width="27.6640625" customWidth="1"/>
    <col min="4882" max="4882" width="6" customWidth="1"/>
    <col min="4883" max="4883" width="12.109375" customWidth="1"/>
    <col min="4884" max="4884" width="10.33203125" customWidth="1"/>
    <col min="4885" max="4885" width="10.109375" customWidth="1"/>
    <col min="4886" max="4886" width="11.44140625" customWidth="1"/>
    <col min="4887" max="4887" width="15.109375" customWidth="1"/>
    <col min="4888" max="4888" width="15.44140625" customWidth="1"/>
    <col min="5122" max="5122" width="5.6640625" customWidth="1"/>
    <col min="5123" max="5123" width="6.44140625" customWidth="1"/>
    <col min="5124" max="5124" width="10.44140625" customWidth="1"/>
    <col min="5125" max="5125" width="9.5546875" customWidth="1"/>
    <col min="5126" max="5126" width="11" customWidth="1"/>
    <col min="5127" max="5127" width="5.6640625" customWidth="1"/>
    <col min="5128" max="5128" width="9.44140625" bestFit="1" customWidth="1"/>
    <col min="5129" max="5129" width="11.33203125" customWidth="1"/>
    <col min="5130" max="5130" width="6.88671875" customWidth="1"/>
    <col min="5131" max="5131" width="8.33203125" customWidth="1"/>
    <col min="5132" max="5132" width="15.44140625" customWidth="1"/>
    <col min="5133" max="5133" width="4.33203125" customWidth="1"/>
    <col min="5134" max="5134" width="19" customWidth="1"/>
    <col min="5135" max="5135" width="10.88671875" customWidth="1"/>
    <col min="5136" max="5136" width="11.6640625" customWidth="1"/>
    <col min="5137" max="5137" width="27.6640625" customWidth="1"/>
    <col min="5138" max="5138" width="6" customWidth="1"/>
    <col min="5139" max="5139" width="12.109375" customWidth="1"/>
    <col min="5140" max="5140" width="10.33203125" customWidth="1"/>
    <col min="5141" max="5141" width="10.109375" customWidth="1"/>
    <col min="5142" max="5142" width="11.44140625" customWidth="1"/>
    <col min="5143" max="5143" width="15.109375" customWidth="1"/>
    <col min="5144" max="5144" width="15.44140625" customWidth="1"/>
    <col min="5378" max="5378" width="5.6640625" customWidth="1"/>
    <col min="5379" max="5379" width="6.44140625" customWidth="1"/>
    <col min="5380" max="5380" width="10.44140625" customWidth="1"/>
    <col min="5381" max="5381" width="9.5546875" customWidth="1"/>
    <col min="5382" max="5382" width="11" customWidth="1"/>
    <col min="5383" max="5383" width="5.6640625" customWidth="1"/>
    <col min="5384" max="5384" width="9.44140625" bestFit="1" customWidth="1"/>
    <col min="5385" max="5385" width="11.33203125" customWidth="1"/>
    <col min="5386" max="5386" width="6.88671875" customWidth="1"/>
    <col min="5387" max="5387" width="8.33203125" customWidth="1"/>
    <col min="5388" max="5388" width="15.44140625" customWidth="1"/>
    <col min="5389" max="5389" width="4.33203125" customWidth="1"/>
    <col min="5390" max="5390" width="19" customWidth="1"/>
    <col min="5391" max="5391" width="10.88671875" customWidth="1"/>
    <col min="5392" max="5392" width="11.6640625" customWidth="1"/>
    <col min="5393" max="5393" width="27.6640625" customWidth="1"/>
    <col min="5394" max="5394" width="6" customWidth="1"/>
    <col min="5395" max="5395" width="12.109375" customWidth="1"/>
    <col min="5396" max="5396" width="10.33203125" customWidth="1"/>
    <col min="5397" max="5397" width="10.109375" customWidth="1"/>
    <col min="5398" max="5398" width="11.44140625" customWidth="1"/>
    <col min="5399" max="5399" width="15.109375" customWidth="1"/>
    <col min="5400" max="5400" width="15.44140625" customWidth="1"/>
    <col min="5634" max="5634" width="5.6640625" customWidth="1"/>
    <col min="5635" max="5635" width="6.44140625" customWidth="1"/>
    <col min="5636" max="5636" width="10.44140625" customWidth="1"/>
    <col min="5637" max="5637" width="9.5546875" customWidth="1"/>
    <col min="5638" max="5638" width="11" customWidth="1"/>
    <col min="5639" max="5639" width="5.6640625" customWidth="1"/>
    <col min="5640" max="5640" width="9.44140625" bestFit="1" customWidth="1"/>
    <col min="5641" max="5641" width="11.33203125" customWidth="1"/>
    <col min="5642" max="5642" width="6.88671875" customWidth="1"/>
    <col min="5643" max="5643" width="8.33203125" customWidth="1"/>
    <col min="5644" max="5644" width="15.44140625" customWidth="1"/>
    <col min="5645" max="5645" width="4.33203125" customWidth="1"/>
    <col min="5646" max="5646" width="19" customWidth="1"/>
    <col min="5647" max="5647" width="10.88671875" customWidth="1"/>
    <col min="5648" max="5648" width="11.6640625" customWidth="1"/>
    <col min="5649" max="5649" width="27.6640625" customWidth="1"/>
    <col min="5650" max="5650" width="6" customWidth="1"/>
    <col min="5651" max="5651" width="12.109375" customWidth="1"/>
    <col min="5652" max="5652" width="10.33203125" customWidth="1"/>
    <col min="5653" max="5653" width="10.109375" customWidth="1"/>
    <col min="5654" max="5654" width="11.44140625" customWidth="1"/>
    <col min="5655" max="5655" width="15.109375" customWidth="1"/>
    <col min="5656" max="5656" width="15.44140625" customWidth="1"/>
    <col min="5890" max="5890" width="5.6640625" customWidth="1"/>
    <col min="5891" max="5891" width="6.44140625" customWidth="1"/>
    <col min="5892" max="5892" width="10.44140625" customWidth="1"/>
    <col min="5893" max="5893" width="9.5546875" customWidth="1"/>
    <col min="5894" max="5894" width="11" customWidth="1"/>
    <col min="5895" max="5895" width="5.6640625" customWidth="1"/>
    <col min="5896" max="5896" width="9.44140625" bestFit="1" customWidth="1"/>
    <col min="5897" max="5897" width="11.33203125" customWidth="1"/>
    <col min="5898" max="5898" width="6.88671875" customWidth="1"/>
    <col min="5899" max="5899" width="8.33203125" customWidth="1"/>
    <col min="5900" max="5900" width="15.44140625" customWidth="1"/>
    <col min="5901" max="5901" width="4.33203125" customWidth="1"/>
    <col min="5902" max="5902" width="19" customWidth="1"/>
    <col min="5903" max="5903" width="10.88671875" customWidth="1"/>
    <col min="5904" max="5904" width="11.6640625" customWidth="1"/>
    <col min="5905" max="5905" width="27.6640625" customWidth="1"/>
    <col min="5906" max="5906" width="6" customWidth="1"/>
    <col min="5907" max="5907" width="12.109375" customWidth="1"/>
    <col min="5908" max="5908" width="10.33203125" customWidth="1"/>
    <col min="5909" max="5909" width="10.109375" customWidth="1"/>
    <col min="5910" max="5910" width="11.44140625" customWidth="1"/>
    <col min="5911" max="5911" width="15.109375" customWidth="1"/>
    <col min="5912" max="5912" width="15.44140625" customWidth="1"/>
    <col min="6146" max="6146" width="5.6640625" customWidth="1"/>
    <col min="6147" max="6147" width="6.44140625" customWidth="1"/>
    <col min="6148" max="6148" width="10.44140625" customWidth="1"/>
    <col min="6149" max="6149" width="9.5546875" customWidth="1"/>
    <col min="6150" max="6150" width="11" customWidth="1"/>
    <col min="6151" max="6151" width="5.6640625" customWidth="1"/>
    <col min="6152" max="6152" width="9.44140625" bestFit="1" customWidth="1"/>
    <col min="6153" max="6153" width="11.33203125" customWidth="1"/>
    <col min="6154" max="6154" width="6.88671875" customWidth="1"/>
    <col min="6155" max="6155" width="8.33203125" customWidth="1"/>
    <col min="6156" max="6156" width="15.44140625" customWidth="1"/>
    <col min="6157" max="6157" width="4.33203125" customWidth="1"/>
    <col min="6158" max="6158" width="19" customWidth="1"/>
    <col min="6159" max="6159" width="10.88671875" customWidth="1"/>
    <col min="6160" max="6160" width="11.6640625" customWidth="1"/>
    <col min="6161" max="6161" width="27.6640625" customWidth="1"/>
    <col min="6162" max="6162" width="6" customWidth="1"/>
    <col min="6163" max="6163" width="12.109375" customWidth="1"/>
    <col min="6164" max="6164" width="10.33203125" customWidth="1"/>
    <col min="6165" max="6165" width="10.109375" customWidth="1"/>
    <col min="6166" max="6166" width="11.44140625" customWidth="1"/>
    <col min="6167" max="6167" width="15.109375" customWidth="1"/>
    <col min="6168" max="6168" width="15.44140625" customWidth="1"/>
    <col min="6402" max="6402" width="5.6640625" customWidth="1"/>
    <col min="6403" max="6403" width="6.44140625" customWidth="1"/>
    <col min="6404" max="6404" width="10.44140625" customWidth="1"/>
    <col min="6405" max="6405" width="9.5546875" customWidth="1"/>
    <col min="6406" max="6406" width="11" customWidth="1"/>
    <col min="6407" max="6407" width="5.6640625" customWidth="1"/>
    <col min="6408" max="6408" width="9.44140625" bestFit="1" customWidth="1"/>
    <col min="6409" max="6409" width="11.33203125" customWidth="1"/>
    <col min="6410" max="6410" width="6.88671875" customWidth="1"/>
    <col min="6411" max="6411" width="8.33203125" customWidth="1"/>
    <col min="6412" max="6412" width="15.44140625" customWidth="1"/>
    <col min="6413" max="6413" width="4.33203125" customWidth="1"/>
    <col min="6414" max="6414" width="19" customWidth="1"/>
    <col min="6415" max="6415" width="10.88671875" customWidth="1"/>
    <col min="6416" max="6416" width="11.6640625" customWidth="1"/>
    <col min="6417" max="6417" width="27.6640625" customWidth="1"/>
    <col min="6418" max="6418" width="6" customWidth="1"/>
    <col min="6419" max="6419" width="12.109375" customWidth="1"/>
    <col min="6420" max="6420" width="10.33203125" customWidth="1"/>
    <col min="6421" max="6421" width="10.109375" customWidth="1"/>
    <col min="6422" max="6422" width="11.44140625" customWidth="1"/>
    <col min="6423" max="6423" width="15.109375" customWidth="1"/>
    <col min="6424" max="6424" width="15.44140625" customWidth="1"/>
    <col min="6658" max="6658" width="5.6640625" customWidth="1"/>
    <col min="6659" max="6659" width="6.44140625" customWidth="1"/>
    <col min="6660" max="6660" width="10.44140625" customWidth="1"/>
    <col min="6661" max="6661" width="9.5546875" customWidth="1"/>
    <col min="6662" max="6662" width="11" customWidth="1"/>
    <col min="6663" max="6663" width="5.6640625" customWidth="1"/>
    <col min="6664" max="6664" width="9.44140625" bestFit="1" customWidth="1"/>
    <col min="6665" max="6665" width="11.33203125" customWidth="1"/>
    <col min="6666" max="6666" width="6.88671875" customWidth="1"/>
    <col min="6667" max="6667" width="8.33203125" customWidth="1"/>
    <col min="6668" max="6668" width="15.44140625" customWidth="1"/>
    <col min="6669" max="6669" width="4.33203125" customWidth="1"/>
    <col min="6670" max="6670" width="19" customWidth="1"/>
    <col min="6671" max="6671" width="10.88671875" customWidth="1"/>
    <col min="6672" max="6672" width="11.6640625" customWidth="1"/>
    <col min="6673" max="6673" width="27.6640625" customWidth="1"/>
    <col min="6674" max="6674" width="6" customWidth="1"/>
    <col min="6675" max="6675" width="12.109375" customWidth="1"/>
    <col min="6676" max="6676" width="10.33203125" customWidth="1"/>
    <col min="6677" max="6677" width="10.109375" customWidth="1"/>
    <col min="6678" max="6678" width="11.44140625" customWidth="1"/>
    <col min="6679" max="6679" width="15.109375" customWidth="1"/>
    <col min="6680" max="6680" width="15.44140625" customWidth="1"/>
    <col min="6914" max="6914" width="5.6640625" customWidth="1"/>
    <col min="6915" max="6915" width="6.44140625" customWidth="1"/>
    <col min="6916" max="6916" width="10.44140625" customWidth="1"/>
    <col min="6917" max="6917" width="9.5546875" customWidth="1"/>
    <col min="6918" max="6918" width="11" customWidth="1"/>
    <col min="6919" max="6919" width="5.6640625" customWidth="1"/>
    <col min="6920" max="6920" width="9.44140625" bestFit="1" customWidth="1"/>
    <col min="6921" max="6921" width="11.33203125" customWidth="1"/>
    <col min="6922" max="6922" width="6.88671875" customWidth="1"/>
    <col min="6923" max="6923" width="8.33203125" customWidth="1"/>
    <col min="6924" max="6924" width="15.44140625" customWidth="1"/>
    <col min="6925" max="6925" width="4.33203125" customWidth="1"/>
    <col min="6926" max="6926" width="19" customWidth="1"/>
    <col min="6927" max="6927" width="10.88671875" customWidth="1"/>
    <col min="6928" max="6928" width="11.6640625" customWidth="1"/>
    <col min="6929" max="6929" width="27.6640625" customWidth="1"/>
    <col min="6930" max="6930" width="6" customWidth="1"/>
    <col min="6931" max="6931" width="12.109375" customWidth="1"/>
    <col min="6932" max="6932" width="10.33203125" customWidth="1"/>
    <col min="6933" max="6933" width="10.109375" customWidth="1"/>
    <col min="6934" max="6934" width="11.44140625" customWidth="1"/>
    <col min="6935" max="6935" width="15.109375" customWidth="1"/>
    <col min="6936" max="6936" width="15.44140625" customWidth="1"/>
    <col min="7170" max="7170" width="5.6640625" customWidth="1"/>
    <col min="7171" max="7171" width="6.44140625" customWidth="1"/>
    <col min="7172" max="7172" width="10.44140625" customWidth="1"/>
    <col min="7173" max="7173" width="9.5546875" customWidth="1"/>
    <col min="7174" max="7174" width="11" customWidth="1"/>
    <col min="7175" max="7175" width="5.6640625" customWidth="1"/>
    <col min="7176" max="7176" width="9.44140625" bestFit="1" customWidth="1"/>
    <col min="7177" max="7177" width="11.33203125" customWidth="1"/>
    <col min="7178" max="7178" width="6.88671875" customWidth="1"/>
    <col min="7179" max="7179" width="8.33203125" customWidth="1"/>
    <col min="7180" max="7180" width="15.44140625" customWidth="1"/>
    <col min="7181" max="7181" width="4.33203125" customWidth="1"/>
    <col min="7182" max="7182" width="19" customWidth="1"/>
    <col min="7183" max="7183" width="10.88671875" customWidth="1"/>
    <col min="7184" max="7184" width="11.6640625" customWidth="1"/>
    <col min="7185" max="7185" width="27.6640625" customWidth="1"/>
    <col min="7186" max="7186" width="6" customWidth="1"/>
    <col min="7187" max="7187" width="12.109375" customWidth="1"/>
    <col min="7188" max="7188" width="10.33203125" customWidth="1"/>
    <col min="7189" max="7189" width="10.109375" customWidth="1"/>
    <col min="7190" max="7190" width="11.44140625" customWidth="1"/>
    <col min="7191" max="7191" width="15.109375" customWidth="1"/>
    <col min="7192" max="7192" width="15.44140625" customWidth="1"/>
    <col min="7426" max="7426" width="5.6640625" customWidth="1"/>
    <col min="7427" max="7427" width="6.44140625" customWidth="1"/>
    <col min="7428" max="7428" width="10.44140625" customWidth="1"/>
    <col min="7429" max="7429" width="9.5546875" customWidth="1"/>
    <col min="7430" max="7430" width="11" customWidth="1"/>
    <col min="7431" max="7431" width="5.6640625" customWidth="1"/>
    <col min="7432" max="7432" width="9.44140625" bestFit="1" customWidth="1"/>
    <col min="7433" max="7433" width="11.33203125" customWidth="1"/>
    <col min="7434" max="7434" width="6.88671875" customWidth="1"/>
    <col min="7435" max="7435" width="8.33203125" customWidth="1"/>
    <col min="7436" max="7436" width="15.44140625" customWidth="1"/>
    <col min="7437" max="7437" width="4.33203125" customWidth="1"/>
    <col min="7438" max="7438" width="19" customWidth="1"/>
    <col min="7439" max="7439" width="10.88671875" customWidth="1"/>
    <col min="7440" max="7440" width="11.6640625" customWidth="1"/>
    <col min="7441" max="7441" width="27.6640625" customWidth="1"/>
    <col min="7442" max="7442" width="6" customWidth="1"/>
    <col min="7443" max="7443" width="12.109375" customWidth="1"/>
    <col min="7444" max="7444" width="10.33203125" customWidth="1"/>
    <col min="7445" max="7445" width="10.109375" customWidth="1"/>
    <col min="7446" max="7446" width="11.44140625" customWidth="1"/>
    <col min="7447" max="7447" width="15.109375" customWidth="1"/>
    <col min="7448" max="7448" width="15.44140625" customWidth="1"/>
    <col min="7682" max="7682" width="5.6640625" customWidth="1"/>
    <col min="7683" max="7683" width="6.44140625" customWidth="1"/>
    <col min="7684" max="7684" width="10.44140625" customWidth="1"/>
    <col min="7685" max="7685" width="9.5546875" customWidth="1"/>
    <col min="7686" max="7686" width="11" customWidth="1"/>
    <col min="7687" max="7687" width="5.6640625" customWidth="1"/>
    <col min="7688" max="7688" width="9.44140625" bestFit="1" customWidth="1"/>
    <col min="7689" max="7689" width="11.33203125" customWidth="1"/>
    <col min="7690" max="7690" width="6.88671875" customWidth="1"/>
    <col min="7691" max="7691" width="8.33203125" customWidth="1"/>
    <col min="7692" max="7692" width="15.44140625" customWidth="1"/>
    <col min="7693" max="7693" width="4.33203125" customWidth="1"/>
    <col min="7694" max="7694" width="19" customWidth="1"/>
    <col min="7695" max="7695" width="10.88671875" customWidth="1"/>
    <col min="7696" max="7696" width="11.6640625" customWidth="1"/>
    <col min="7697" max="7697" width="27.6640625" customWidth="1"/>
    <col min="7698" max="7698" width="6" customWidth="1"/>
    <col min="7699" max="7699" width="12.109375" customWidth="1"/>
    <col min="7700" max="7700" width="10.33203125" customWidth="1"/>
    <col min="7701" max="7701" width="10.109375" customWidth="1"/>
    <col min="7702" max="7702" width="11.44140625" customWidth="1"/>
    <col min="7703" max="7703" width="15.109375" customWidth="1"/>
    <col min="7704" max="7704" width="15.44140625" customWidth="1"/>
    <col min="7938" max="7938" width="5.6640625" customWidth="1"/>
    <col min="7939" max="7939" width="6.44140625" customWidth="1"/>
    <col min="7940" max="7940" width="10.44140625" customWidth="1"/>
    <col min="7941" max="7941" width="9.5546875" customWidth="1"/>
    <col min="7942" max="7942" width="11" customWidth="1"/>
    <col min="7943" max="7943" width="5.6640625" customWidth="1"/>
    <col min="7944" max="7944" width="9.44140625" bestFit="1" customWidth="1"/>
    <col min="7945" max="7945" width="11.33203125" customWidth="1"/>
    <col min="7946" max="7946" width="6.88671875" customWidth="1"/>
    <col min="7947" max="7947" width="8.33203125" customWidth="1"/>
    <col min="7948" max="7948" width="15.44140625" customWidth="1"/>
    <col min="7949" max="7949" width="4.33203125" customWidth="1"/>
    <col min="7950" max="7950" width="19" customWidth="1"/>
    <col min="7951" max="7951" width="10.88671875" customWidth="1"/>
    <col min="7952" max="7952" width="11.6640625" customWidth="1"/>
    <col min="7953" max="7953" width="27.6640625" customWidth="1"/>
    <col min="7954" max="7954" width="6" customWidth="1"/>
    <col min="7955" max="7955" width="12.109375" customWidth="1"/>
    <col min="7956" max="7956" width="10.33203125" customWidth="1"/>
    <col min="7957" max="7957" width="10.109375" customWidth="1"/>
    <col min="7958" max="7958" width="11.44140625" customWidth="1"/>
    <col min="7959" max="7959" width="15.109375" customWidth="1"/>
    <col min="7960" max="7960" width="15.44140625" customWidth="1"/>
    <col min="8194" max="8194" width="5.6640625" customWidth="1"/>
    <col min="8195" max="8195" width="6.44140625" customWidth="1"/>
    <col min="8196" max="8196" width="10.44140625" customWidth="1"/>
    <col min="8197" max="8197" width="9.5546875" customWidth="1"/>
    <col min="8198" max="8198" width="11" customWidth="1"/>
    <col min="8199" max="8199" width="5.6640625" customWidth="1"/>
    <col min="8200" max="8200" width="9.44140625" bestFit="1" customWidth="1"/>
    <col min="8201" max="8201" width="11.33203125" customWidth="1"/>
    <col min="8202" max="8202" width="6.88671875" customWidth="1"/>
    <col min="8203" max="8203" width="8.33203125" customWidth="1"/>
    <col min="8204" max="8204" width="15.44140625" customWidth="1"/>
    <col min="8205" max="8205" width="4.33203125" customWidth="1"/>
    <col min="8206" max="8206" width="19" customWidth="1"/>
    <col min="8207" max="8207" width="10.88671875" customWidth="1"/>
    <col min="8208" max="8208" width="11.6640625" customWidth="1"/>
    <col min="8209" max="8209" width="27.6640625" customWidth="1"/>
    <col min="8210" max="8210" width="6" customWidth="1"/>
    <col min="8211" max="8211" width="12.109375" customWidth="1"/>
    <col min="8212" max="8212" width="10.33203125" customWidth="1"/>
    <col min="8213" max="8213" width="10.109375" customWidth="1"/>
    <col min="8214" max="8214" width="11.44140625" customWidth="1"/>
    <col min="8215" max="8215" width="15.109375" customWidth="1"/>
    <col min="8216" max="8216" width="15.44140625" customWidth="1"/>
    <col min="8450" max="8450" width="5.6640625" customWidth="1"/>
    <col min="8451" max="8451" width="6.44140625" customWidth="1"/>
    <col min="8452" max="8452" width="10.44140625" customWidth="1"/>
    <col min="8453" max="8453" width="9.5546875" customWidth="1"/>
    <col min="8454" max="8454" width="11" customWidth="1"/>
    <col min="8455" max="8455" width="5.6640625" customWidth="1"/>
    <col min="8456" max="8456" width="9.44140625" bestFit="1" customWidth="1"/>
    <col min="8457" max="8457" width="11.33203125" customWidth="1"/>
    <col min="8458" max="8458" width="6.88671875" customWidth="1"/>
    <col min="8459" max="8459" width="8.33203125" customWidth="1"/>
    <col min="8460" max="8460" width="15.44140625" customWidth="1"/>
    <col min="8461" max="8461" width="4.33203125" customWidth="1"/>
    <col min="8462" max="8462" width="19" customWidth="1"/>
    <col min="8463" max="8463" width="10.88671875" customWidth="1"/>
    <col min="8464" max="8464" width="11.6640625" customWidth="1"/>
    <col min="8465" max="8465" width="27.6640625" customWidth="1"/>
    <col min="8466" max="8466" width="6" customWidth="1"/>
    <col min="8467" max="8467" width="12.109375" customWidth="1"/>
    <col min="8468" max="8468" width="10.33203125" customWidth="1"/>
    <col min="8469" max="8469" width="10.109375" customWidth="1"/>
    <col min="8470" max="8470" width="11.44140625" customWidth="1"/>
    <col min="8471" max="8471" width="15.109375" customWidth="1"/>
    <col min="8472" max="8472" width="15.44140625" customWidth="1"/>
    <col min="8706" max="8706" width="5.6640625" customWidth="1"/>
    <col min="8707" max="8707" width="6.44140625" customWidth="1"/>
    <col min="8708" max="8708" width="10.44140625" customWidth="1"/>
    <col min="8709" max="8709" width="9.5546875" customWidth="1"/>
    <col min="8710" max="8710" width="11" customWidth="1"/>
    <col min="8711" max="8711" width="5.6640625" customWidth="1"/>
    <col min="8712" max="8712" width="9.44140625" bestFit="1" customWidth="1"/>
    <col min="8713" max="8713" width="11.33203125" customWidth="1"/>
    <col min="8714" max="8714" width="6.88671875" customWidth="1"/>
    <col min="8715" max="8715" width="8.33203125" customWidth="1"/>
    <col min="8716" max="8716" width="15.44140625" customWidth="1"/>
    <col min="8717" max="8717" width="4.33203125" customWidth="1"/>
    <col min="8718" max="8718" width="19" customWidth="1"/>
    <col min="8719" max="8719" width="10.88671875" customWidth="1"/>
    <col min="8720" max="8720" width="11.6640625" customWidth="1"/>
    <col min="8721" max="8721" width="27.6640625" customWidth="1"/>
    <col min="8722" max="8722" width="6" customWidth="1"/>
    <col min="8723" max="8723" width="12.109375" customWidth="1"/>
    <col min="8724" max="8724" width="10.33203125" customWidth="1"/>
    <col min="8725" max="8725" width="10.109375" customWidth="1"/>
    <col min="8726" max="8726" width="11.44140625" customWidth="1"/>
    <col min="8727" max="8727" width="15.109375" customWidth="1"/>
    <col min="8728" max="8728" width="15.44140625" customWidth="1"/>
    <col min="8962" max="8962" width="5.6640625" customWidth="1"/>
    <col min="8963" max="8963" width="6.44140625" customWidth="1"/>
    <col min="8964" max="8964" width="10.44140625" customWidth="1"/>
    <col min="8965" max="8965" width="9.5546875" customWidth="1"/>
    <col min="8966" max="8966" width="11" customWidth="1"/>
    <col min="8967" max="8967" width="5.6640625" customWidth="1"/>
    <col min="8968" max="8968" width="9.44140625" bestFit="1" customWidth="1"/>
    <col min="8969" max="8969" width="11.33203125" customWidth="1"/>
    <col min="8970" max="8970" width="6.88671875" customWidth="1"/>
    <col min="8971" max="8971" width="8.33203125" customWidth="1"/>
    <col min="8972" max="8972" width="15.44140625" customWidth="1"/>
    <col min="8973" max="8973" width="4.33203125" customWidth="1"/>
    <col min="8974" max="8974" width="19" customWidth="1"/>
    <col min="8975" max="8975" width="10.88671875" customWidth="1"/>
    <col min="8976" max="8976" width="11.6640625" customWidth="1"/>
    <col min="8977" max="8977" width="27.6640625" customWidth="1"/>
    <col min="8978" max="8978" width="6" customWidth="1"/>
    <col min="8979" max="8979" width="12.109375" customWidth="1"/>
    <col min="8980" max="8980" width="10.33203125" customWidth="1"/>
    <col min="8981" max="8981" width="10.109375" customWidth="1"/>
    <col min="8982" max="8982" width="11.44140625" customWidth="1"/>
    <col min="8983" max="8983" width="15.109375" customWidth="1"/>
    <col min="8984" max="8984" width="15.44140625" customWidth="1"/>
    <col min="9218" max="9218" width="5.6640625" customWidth="1"/>
    <col min="9219" max="9219" width="6.44140625" customWidth="1"/>
    <col min="9220" max="9220" width="10.44140625" customWidth="1"/>
    <col min="9221" max="9221" width="9.5546875" customWidth="1"/>
    <col min="9222" max="9222" width="11" customWidth="1"/>
    <col min="9223" max="9223" width="5.6640625" customWidth="1"/>
    <col min="9224" max="9224" width="9.44140625" bestFit="1" customWidth="1"/>
    <col min="9225" max="9225" width="11.33203125" customWidth="1"/>
    <col min="9226" max="9226" width="6.88671875" customWidth="1"/>
    <col min="9227" max="9227" width="8.33203125" customWidth="1"/>
    <col min="9228" max="9228" width="15.44140625" customWidth="1"/>
    <col min="9229" max="9229" width="4.33203125" customWidth="1"/>
    <col min="9230" max="9230" width="19" customWidth="1"/>
    <col min="9231" max="9231" width="10.88671875" customWidth="1"/>
    <col min="9232" max="9232" width="11.6640625" customWidth="1"/>
    <col min="9233" max="9233" width="27.6640625" customWidth="1"/>
    <col min="9234" max="9234" width="6" customWidth="1"/>
    <col min="9235" max="9235" width="12.109375" customWidth="1"/>
    <col min="9236" max="9236" width="10.33203125" customWidth="1"/>
    <col min="9237" max="9237" width="10.109375" customWidth="1"/>
    <col min="9238" max="9238" width="11.44140625" customWidth="1"/>
    <col min="9239" max="9239" width="15.109375" customWidth="1"/>
    <col min="9240" max="9240" width="15.44140625" customWidth="1"/>
    <col min="9474" max="9474" width="5.6640625" customWidth="1"/>
    <col min="9475" max="9475" width="6.44140625" customWidth="1"/>
    <col min="9476" max="9476" width="10.44140625" customWidth="1"/>
    <col min="9477" max="9477" width="9.5546875" customWidth="1"/>
    <col min="9478" max="9478" width="11" customWidth="1"/>
    <col min="9479" max="9479" width="5.6640625" customWidth="1"/>
    <col min="9480" max="9480" width="9.44140625" bestFit="1" customWidth="1"/>
    <col min="9481" max="9481" width="11.33203125" customWidth="1"/>
    <col min="9482" max="9482" width="6.88671875" customWidth="1"/>
    <col min="9483" max="9483" width="8.33203125" customWidth="1"/>
    <col min="9484" max="9484" width="15.44140625" customWidth="1"/>
    <col min="9485" max="9485" width="4.33203125" customWidth="1"/>
    <col min="9486" max="9486" width="19" customWidth="1"/>
    <col min="9487" max="9487" width="10.88671875" customWidth="1"/>
    <col min="9488" max="9488" width="11.6640625" customWidth="1"/>
    <col min="9489" max="9489" width="27.6640625" customWidth="1"/>
    <col min="9490" max="9490" width="6" customWidth="1"/>
    <col min="9491" max="9491" width="12.109375" customWidth="1"/>
    <col min="9492" max="9492" width="10.33203125" customWidth="1"/>
    <col min="9493" max="9493" width="10.109375" customWidth="1"/>
    <col min="9494" max="9494" width="11.44140625" customWidth="1"/>
    <col min="9495" max="9495" width="15.109375" customWidth="1"/>
    <col min="9496" max="9496" width="15.44140625" customWidth="1"/>
    <col min="9730" max="9730" width="5.6640625" customWidth="1"/>
    <col min="9731" max="9731" width="6.44140625" customWidth="1"/>
    <col min="9732" max="9732" width="10.44140625" customWidth="1"/>
    <col min="9733" max="9733" width="9.5546875" customWidth="1"/>
    <col min="9734" max="9734" width="11" customWidth="1"/>
    <col min="9735" max="9735" width="5.6640625" customWidth="1"/>
    <col min="9736" max="9736" width="9.44140625" bestFit="1" customWidth="1"/>
    <col min="9737" max="9737" width="11.33203125" customWidth="1"/>
    <col min="9738" max="9738" width="6.88671875" customWidth="1"/>
    <col min="9739" max="9739" width="8.33203125" customWidth="1"/>
    <col min="9740" max="9740" width="15.44140625" customWidth="1"/>
    <col min="9741" max="9741" width="4.33203125" customWidth="1"/>
    <col min="9742" max="9742" width="19" customWidth="1"/>
    <col min="9743" max="9743" width="10.88671875" customWidth="1"/>
    <col min="9744" max="9744" width="11.6640625" customWidth="1"/>
    <col min="9745" max="9745" width="27.6640625" customWidth="1"/>
    <col min="9746" max="9746" width="6" customWidth="1"/>
    <col min="9747" max="9747" width="12.109375" customWidth="1"/>
    <col min="9748" max="9748" width="10.33203125" customWidth="1"/>
    <col min="9749" max="9749" width="10.109375" customWidth="1"/>
    <col min="9750" max="9750" width="11.44140625" customWidth="1"/>
    <col min="9751" max="9751" width="15.109375" customWidth="1"/>
    <col min="9752" max="9752" width="15.44140625" customWidth="1"/>
    <col min="9986" max="9986" width="5.6640625" customWidth="1"/>
    <col min="9987" max="9987" width="6.44140625" customWidth="1"/>
    <col min="9988" max="9988" width="10.44140625" customWidth="1"/>
    <col min="9989" max="9989" width="9.5546875" customWidth="1"/>
    <col min="9990" max="9990" width="11" customWidth="1"/>
    <col min="9991" max="9991" width="5.6640625" customWidth="1"/>
    <col min="9992" max="9992" width="9.44140625" bestFit="1" customWidth="1"/>
    <col min="9993" max="9993" width="11.33203125" customWidth="1"/>
    <col min="9994" max="9994" width="6.88671875" customWidth="1"/>
    <col min="9995" max="9995" width="8.33203125" customWidth="1"/>
    <col min="9996" max="9996" width="15.44140625" customWidth="1"/>
    <col min="9997" max="9997" width="4.33203125" customWidth="1"/>
    <col min="9998" max="9998" width="19" customWidth="1"/>
    <col min="9999" max="9999" width="10.88671875" customWidth="1"/>
    <col min="10000" max="10000" width="11.6640625" customWidth="1"/>
    <col min="10001" max="10001" width="27.6640625" customWidth="1"/>
    <col min="10002" max="10002" width="6" customWidth="1"/>
    <col min="10003" max="10003" width="12.109375" customWidth="1"/>
    <col min="10004" max="10004" width="10.33203125" customWidth="1"/>
    <col min="10005" max="10005" width="10.109375" customWidth="1"/>
    <col min="10006" max="10006" width="11.44140625" customWidth="1"/>
    <col min="10007" max="10007" width="15.109375" customWidth="1"/>
    <col min="10008" max="10008" width="15.44140625" customWidth="1"/>
    <col min="10242" max="10242" width="5.6640625" customWidth="1"/>
    <col min="10243" max="10243" width="6.44140625" customWidth="1"/>
    <col min="10244" max="10244" width="10.44140625" customWidth="1"/>
    <col min="10245" max="10245" width="9.5546875" customWidth="1"/>
    <col min="10246" max="10246" width="11" customWidth="1"/>
    <col min="10247" max="10247" width="5.6640625" customWidth="1"/>
    <col min="10248" max="10248" width="9.44140625" bestFit="1" customWidth="1"/>
    <col min="10249" max="10249" width="11.33203125" customWidth="1"/>
    <col min="10250" max="10250" width="6.88671875" customWidth="1"/>
    <col min="10251" max="10251" width="8.33203125" customWidth="1"/>
    <col min="10252" max="10252" width="15.44140625" customWidth="1"/>
    <col min="10253" max="10253" width="4.33203125" customWidth="1"/>
    <col min="10254" max="10254" width="19" customWidth="1"/>
    <col min="10255" max="10255" width="10.88671875" customWidth="1"/>
    <col min="10256" max="10256" width="11.6640625" customWidth="1"/>
    <col min="10257" max="10257" width="27.6640625" customWidth="1"/>
    <col min="10258" max="10258" width="6" customWidth="1"/>
    <col min="10259" max="10259" width="12.109375" customWidth="1"/>
    <col min="10260" max="10260" width="10.33203125" customWidth="1"/>
    <col min="10261" max="10261" width="10.109375" customWidth="1"/>
    <col min="10262" max="10262" width="11.44140625" customWidth="1"/>
    <col min="10263" max="10263" width="15.109375" customWidth="1"/>
    <col min="10264" max="10264" width="15.44140625" customWidth="1"/>
    <col min="10498" max="10498" width="5.6640625" customWidth="1"/>
    <col min="10499" max="10499" width="6.44140625" customWidth="1"/>
    <col min="10500" max="10500" width="10.44140625" customWidth="1"/>
    <col min="10501" max="10501" width="9.5546875" customWidth="1"/>
    <col min="10502" max="10502" width="11" customWidth="1"/>
    <col min="10503" max="10503" width="5.6640625" customWidth="1"/>
    <col min="10504" max="10504" width="9.44140625" bestFit="1" customWidth="1"/>
    <col min="10505" max="10505" width="11.33203125" customWidth="1"/>
    <col min="10506" max="10506" width="6.88671875" customWidth="1"/>
    <col min="10507" max="10507" width="8.33203125" customWidth="1"/>
    <col min="10508" max="10508" width="15.44140625" customWidth="1"/>
    <col min="10509" max="10509" width="4.33203125" customWidth="1"/>
    <col min="10510" max="10510" width="19" customWidth="1"/>
    <col min="10511" max="10511" width="10.88671875" customWidth="1"/>
    <col min="10512" max="10512" width="11.6640625" customWidth="1"/>
    <col min="10513" max="10513" width="27.6640625" customWidth="1"/>
    <col min="10514" max="10514" width="6" customWidth="1"/>
    <col min="10515" max="10515" width="12.109375" customWidth="1"/>
    <col min="10516" max="10516" width="10.33203125" customWidth="1"/>
    <col min="10517" max="10517" width="10.109375" customWidth="1"/>
    <col min="10518" max="10518" width="11.44140625" customWidth="1"/>
    <col min="10519" max="10519" width="15.109375" customWidth="1"/>
    <col min="10520" max="10520" width="15.44140625" customWidth="1"/>
    <col min="10754" max="10754" width="5.6640625" customWidth="1"/>
    <col min="10755" max="10755" width="6.44140625" customWidth="1"/>
    <col min="10756" max="10756" width="10.44140625" customWidth="1"/>
    <col min="10757" max="10757" width="9.5546875" customWidth="1"/>
    <col min="10758" max="10758" width="11" customWidth="1"/>
    <col min="10759" max="10759" width="5.6640625" customWidth="1"/>
    <col min="10760" max="10760" width="9.44140625" bestFit="1" customWidth="1"/>
    <col min="10761" max="10761" width="11.33203125" customWidth="1"/>
    <col min="10762" max="10762" width="6.88671875" customWidth="1"/>
    <col min="10763" max="10763" width="8.33203125" customWidth="1"/>
    <col min="10764" max="10764" width="15.44140625" customWidth="1"/>
    <col min="10765" max="10765" width="4.33203125" customWidth="1"/>
    <col min="10766" max="10766" width="19" customWidth="1"/>
    <col min="10767" max="10767" width="10.88671875" customWidth="1"/>
    <col min="10768" max="10768" width="11.6640625" customWidth="1"/>
    <col min="10769" max="10769" width="27.6640625" customWidth="1"/>
    <col min="10770" max="10770" width="6" customWidth="1"/>
    <col min="10771" max="10771" width="12.109375" customWidth="1"/>
    <col min="10772" max="10772" width="10.33203125" customWidth="1"/>
    <col min="10773" max="10773" width="10.109375" customWidth="1"/>
    <col min="10774" max="10774" width="11.44140625" customWidth="1"/>
    <col min="10775" max="10775" width="15.109375" customWidth="1"/>
    <col min="10776" max="10776" width="15.44140625" customWidth="1"/>
    <col min="11010" max="11010" width="5.6640625" customWidth="1"/>
    <col min="11011" max="11011" width="6.44140625" customWidth="1"/>
    <col min="11012" max="11012" width="10.44140625" customWidth="1"/>
    <col min="11013" max="11013" width="9.5546875" customWidth="1"/>
    <col min="11014" max="11014" width="11" customWidth="1"/>
    <col min="11015" max="11015" width="5.6640625" customWidth="1"/>
    <col min="11016" max="11016" width="9.44140625" bestFit="1" customWidth="1"/>
    <col min="11017" max="11017" width="11.33203125" customWidth="1"/>
    <col min="11018" max="11018" width="6.88671875" customWidth="1"/>
    <col min="11019" max="11019" width="8.33203125" customWidth="1"/>
    <col min="11020" max="11020" width="15.44140625" customWidth="1"/>
    <col min="11021" max="11021" width="4.33203125" customWidth="1"/>
    <col min="11022" max="11022" width="19" customWidth="1"/>
    <col min="11023" max="11023" width="10.88671875" customWidth="1"/>
    <col min="11024" max="11024" width="11.6640625" customWidth="1"/>
    <col min="11025" max="11025" width="27.6640625" customWidth="1"/>
    <col min="11026" max="11026" width="6" customWidth="1"/>
    <col min="11027" max="11027" width="12.109375" customWidth="1"/>
    <col min="11028" max="11028" width="10.33203125" customWidth="1"/>
    <col min="11029" max="11029" width="10.109375" customWidth="1"/>
    <col min="11030" max="11030" width="11.44140625" customWidth="1"/>
    <col min="11031" max="11031" width="15.109375" customWidth="1"/>
    <col min="11032" max="11032" width="15.44140625" customWidth="1"/>
    <col min="11266" max="11266" width="5.6640625" customWidth="1"/>
    <col min="11267" max="11267" width="6.44140625" customWidth="1"/>
    <col min="11268" max="11268" width="10.44140625" customWidth="1"/>
    <col min="11269" max="11269" width="9.5546875" customWidth="1"/>
    <col min="11270" max="11270" width="11" customWidth="1"/>
    <col min="11271" max="11271" width="5.6640625" customWidth="1"/>
    <col min="11272" max="11272" width="9.44140625" bestFit="1" customWidth="1"/>
    <col min="11273" max="11273" width="11.33203125" customWidth="1"/>
    <col min="11274" max="11274" width="6.88671875" customWidth="1"/>
    <col min="11275" max="11275" width="8.33203125" customWidth="1"/>
    <col min="11276" max="11276" width="15.44140625" customWidth="1"/>
    <col min="11277" max="11277" width="4.33203125" customWidth="1"/>
    <col min="11278" max="11278" width="19" customWidth="1"/>
    <col min="11279" max="11279" width="10.88671875" customWidth="1"/>
    <col min="11280" max="11280" width="11.6640625" customWidth="1"/>
    <col min="11281" max="11281" width="27.6640625" customWidth="1"/>
    <col min="11282" max="11282" width="6" customWidth="1"/>
    <col min="11283" max="11283" width="12.109375" customWidth="1"/>
    <col min="11284" max="11284" width="10.33203125" customWidth="1"/>
    <col min="11285" max="11285" width="10.109375" customWidth="1"/>
    <col min="11286" max="11286" width="11.44140625" customWidth="1"/>
    <col min="11287" max="11287" width="15.109375" customWidth="1"/>
    <col min="11288" max="11288" width="15.44140625" customWidth="1"/>
    <col min="11522" max="11522" width="5.6640625" customWidth="1"/>
    <col min="11523" max="11523" width="6.44140625" customWidth="1"/>
    <col min="11524" max="11524" width="10.44140625" customWidth="1"/>
    <col min="11525" max="11525" width="9.5546875" customWidth="1"/>
    <col min="11526" max="11526" width="11" customWidth="1"/>
    <col min="11527" max="11527" width="5.6640625" customWidth="1"/>
    <col min="11528" max="11528" width="9.44140625" bestFit="1" customWidth="1"/>
    <col min="11529" max="11529" width="11.33203125" customWidth="1"/>
    <col min="11530" max="11530" width="6.88671875" customWidth="1"/>
    <col min="11531" max="11531" width="8.33203125" customWidth="1"/>
    <col min="11532" max="11532" width="15.44140625" customWidth="1"/>
    <col min="11533" max="11533" width="4.33203125" customWidth="1"/>
    <col min="11534" max="11534" width="19" customWidth="1"/>
    <col min="11535" max="11535" width="10.88671875" customWidth="1"/>
    <col min="11536" max="11536" width="11.6640625" customWidth="1"/>
    <col min="11537" max="11537" width="27.6640625" customWidth="1"/>
    <col min="11538" max="11538" width="6" customWidth="1"/>
    <col min="11539" max="11539" width="12.109375" customWidth="1"/>
    <col min="11540" max="11540" width="10.33203125" customWidth="1"/>
    <col min="11541" max="11541" width="10.109375" customWidth="1"/>
    <col min="11542" max="11542" width="11.44140625" customWidth="1"/>
    <col min="11543" max="11543" width="15.109375" customWidth="1"/>
    <col min="11544" max="11544" width="15.44140625" customWidth="1"/>
    <col min="11778" max="11778" width="5.6640625" customWidth="1"/>
    <col min="11779" max="11779" width="6.44140625" customWidth="1"/>
    <col min="11780" max="11780" width="10.44140625" customWidth="1"/>
    <col min="11781" max="11781" width="9.5546875" customWidth="1"/>
    <col min="11782" max="11782" width="11" customWidth="1"/>
    <col min="11783" max="11783" width="5.6640625" customWidth="1"/>
    <col min="11784" max="11784" width="9.44140625" bestFit="1" customWidth="1"/>
    <col min="11785" max="11785" width="11.33203125" customWidth="1"/>
    <col min="11786" max="11786" width="6.88671875" customWidth="1"/>
    <col min="11787" max="11787" width="8.33203125" customWidth="1"/>
    <col min="11788" max="11788" width="15.44140625" customWidth="1"/>
    <col min="11789" max="11789" width="4.33203125" customWidth="1"/>
    <col min="11790" max="11790" width="19" customWidth="1"/>
    <col min="11791" max="11791" width="10.88671875" customWidth="1"/>
    <col min="11792" max="11792" width="11.6640625" customWidth="1"/>
    <col min="11793" max="11793" width="27.6640625" customWidth="1"/>
    <col min="11794" max="11794" width="6" customWidth="1"/>
    <col min="11795" max="11795" width="12.109375" customWidth="1"/>
    <col min="11796" max="11796" width="10.33203125" customWidth="1"/>
    <col min="11797" max="11797" width="10.109375" customWidth="1"/>
    <col min="11798" max="11798" width="11.44140625" customWidth="1"/>
    <col min="11799" max="11799" width="15.109375" customWidth="1"/>
    <col min="11800" max="11800" width="15.44140625" customWidth="1"/>
    <col min="12034" max="12034" width="5.6640625" customWidth="1"/>
    <col min="12035" max="12035" width="6.44140625" customWidth="1"/>
    <col min="12036" max="12036" width="10.44140625" customWidth="1"/>
    <col min="12037" max="12037" width="9.5546875" customWidth="1"/>
    <col min="12038" max="12038" width="11" customWidth="1"/>
    <col min="12039" max="12039" width="5.6640625" customWidth="1"/>
    <col min="12040" max="12040" width="9.44140625" bestFit="1" customWidth="1"/>
    <col min="12041" max="12041" width="11.33203125" customWidth="1"/>
    <col min="12042" max="12042" width="6.88671875" customWidth="1"/>
    <col min="12043" max="12043" width="8.33203125" customWidth="1"/>
    <col min="12044" max="12044" width="15.44140625" customWidth="1"/>
    <col min="12045" max="12045" width="4.33203125" customWidth="1"/>
    <col min="12046" max="12046" width="19" customWidth="1"/>
    <col min="12047" max="12047" width="10.88671875" customWidth="1"/>
    <col min="12048" max="12048" width="11.6640625" customWidth="1"/>
    <col min="12049" max="12049" width="27.6640625" customWidth="1"/>
    <col min="12050" max="12050" width="6" customWidth="1"/>
    <col min="12051" max="12051" width="12.109375" customWidth="1"/>
    <col min="12052" max="12052" width="10.33203125" customWidth="1"/>
    <col min="12053" max="12053" width="10.109375" customWidth="1"/>
    <col min="12054" max="12054" width="11.44140625" customWidth="1"/>
    <col min="12055" max="12055" width="15.109375" customWidth="1"/>
    <col min="12056" max="12056" width="15.44140625" customWidth="1"/>
    <col min="12290" max="12290" width="5.6640625" customWidth="1"/>
    <col min="12291" max="12291" width="6.44140625" customWidth="1"/>
    <col min="12292" max="12292" width="10.44140625" customWidth="1"/>
    <col min="12293" max="12293" width="9.5546875" customWidth="1"/>
    <col min="12294" max="12294" width="11" customWidth="1"/>
    <col min="12295" max="12295" width="5.6640625" customWidth="1"/>
    <col min="12296" max="12296" width="9.44140625" bestFit="1" customWidth="1"/>
    <col min="12297" max="12297" width="11.33203125" customWidth="1"/>
    <col min="12298" max="12298" width="6.88671875" customWidth="1"/>
    <col min="12299" max="12299" width="8.33203125" customWidth="1"/>
    <col min="12300" max="12300" width="15.44140625" customWidth="1"/>
    <col min="12301" max="12301" width="4.33203125" customWidth="1"/>
    <col min="12302" max="12302" width="19" customWidth="1"/>
    <col min="12303" max="12303" width="10.88671875" customWidth="1"/>
    <col min="12304" max="12304" width="11.6640625" customWidth="1"/>
    <col min="12305" max="12305" width="27.6640625" customWidth="1"/>
    <col min="12306" max="12306" width="6" customWidth="1"/>
    <col min="12307" max="12307" width="12.109375" customWidth="1"/>
    <col min="12308" max="12308" width="10.33203125" customWidth="1"/>
    <col min="12309" max="12309" width="10.109375" customWidth="1"/>
    <col min="12310" max="12310" width="11.44140625" customWidth="1"/>
    <col min="12311" max="12311" width="15.109375" customWidth="1"/>
    <col min="12312" max="12312" width="15.44140625" customWidth="1"/>
    <col min="12546" max="12546" width="5.6640625" customWidth="1"/>
    <col min="12547" max="12547" width="6.44140625" customWidth="1"/>
    <col min="12548" max="12548" width="10.44140625" customWidth="1"/>
    <col min="12549" max="12549" width="9.5546875" customWidth="1"/>
    <col min="12550" max="12550" width="11" customWidth="1"/>
    <col min="12551" max="12551" width="5.6640625" customWidth="1"/>
    <col min="12552" max="12552" width="9.44140625" bestFit="1" customWidth="1"/>
    <col min="12553" max="12553" width="11.33203125" customWidth="1"/>
    <col min="12554" max="12554" width="6.88671875" customWidth="1"/>
    <col min="12555" max="12555" width="8.33203125" customWidth="1"/>
    <col min="12556" max="12556" width="15.44140625" customWidth="1"/>
    <col min="12557" max="12557" width="4.33203125" customWidth="1"/>
    <col min="12558" max="12558" width="19" customWidth="1"/>
    <col min="12559" max="12559" width="10.88671875" customWidth="1"/>
    <col min="12560" max="12560" width="11.6640625" customWidth="1"/>
    <col min="12561" max="12561" width="27.6640625" customWidth="1"/>
    <col min="12562" max="12562" width="6" customWidth="1"/>
    <col min="12563" max="12563" width="12.109375" customWidth="1"/>
    <col min="12564" max="12564" width="10.33203125" customWidth="1"/>
    <col min="12565" max="12565" width="10.109375" customWidth="1"/>
    <col min="12566" max="12566" width="11.44140625" customWidth="1"/>
    <col min="12567" max="12567" width="15.109375" customWidth="1"/>
    <col min="12568" max="12568" width="15.44140625" customWidth="1"/>
    <col min="12802" max="12802" width="5.6640625" customWidth="1"/>
    <col min="12803" max="12803" width="6.44140625" customWidth="1"/>
    <col min="12804" max="12804" width="10.44140625" customWidth="1"/>
    <col min="12805" max="12805" width="9.5546875" customWidth="1"/>
    <col min="12806" max="12806" width="11" customWidth="1"/>
    <col min="12807" max="12807" width="5.6640625" customWidth="1"/>
    <col min="12808" max="12808" width="9.44140625" bestFit="1" customWidth="1"/>
    <col min="12809" max="12809" width="11.33203125" customWidth="1"/>
    <col min="12810" max="12810" width="6.88671875" customWidth="1"/>
    <col min="12811" max="12811" width="8.33203125" customWidth="1"/>
    <col min="12812" max="12812" width="15.44140625" customWidth="1"/>
    <col min="12813" max="12813" width="4.33203125" customWidth="1"/>
    <col min="12814" max="12814" width="19" customWidth="1"/>
    <col min="12815" max="12815" width="10.88671875" customWidth="1"/>
    <col min="12816" max="12816" width="11.6640625" customWidth="1"/>
    <col min="12817" max="12817" width="27.6640625" customWidth="1"/>
    <col min="12818" max="12818" width="6" customWidth="1"/>
    <col min="12819" max="12819" width="12.109375" customWidth="1"/>
    <col min="12820" max="12820" width="10.33203125" customWidth="1"/>
    <col min="12821" max="12821" width="10.109375" customWidth="1"/>
    <col min="12822" max="12822" width="11.44140625" customWidth="1"/>
    <col min="12823" max="12823" width="15.109375" customWidth="1"/>
    <col min="12824" max="12824" width="15.44140625" customWidth="1"/>
    <col min="13058" max="13058" width="5.6640625" customWidth="1"/>
    <col min="13059" max="13059" width="6.44140625" customWidth="1"/>
    <col min="13060" max="13060" width="10.44140625" customWidth="1"/>
    <col min="13061" max="13061" width="9.5546875" customWidth="1"/>
    <col min="13062" max="13062" width="11" customWidth="1"/>
    <col min="13063" max="13063" width="5.6640625" customWidth="1"/>
    <col min="13064" max="13064" width="9.44140625" bestFit="1" customWidth="1"/>
    <col min="13065" max="13065" width="11.33203125" customWidth="1"/>
    <col min="13066" max="13066" width="6.88671875" customWidth="1"/>
    <col min="13067" max="13067" width="8.33203125" customWidth="1"/>
    <col min="13068" max="13068" width="15.44140625" customWidth="1"/>
    <col min="13069" max="13069" width="4.33203125" customWidth="1"/>
    <col min="13070" max="13070" width="19" customWidth="1"/>
    <col min="13071" max="13071" width="10.88671875" customWidth="1"/>
    <col min="13072" max="13072" width="11.6640625" customWidth="1"/>
    <col min="13073" max="13073" width="27.6640625" customWidth="1"/>
    <col min="13074" max="13074" width="6" customWidth="1"/>
    <col min="13075" max="13075" width="12.109375" customWidth="1"/>
    <col min="13076" max="13076" width="10.33203125" customWidth="1"/>
    <col min="13077" max="13077" width="10.109375" customWidth="1"/>
    <col min="13078" max="13078" width="11.44140625" customWidth="1"/>
    <col min="13079" max="13079" width="15.109375" customWidth="1"/>
    <col min="13080" max="13080" width="15.44140625" customWidth="1"/>
    <col min="13314" max="13314" width="5.6640625" customWidth="1"/>
    <col min="13315" max="13315" width="6.44140625" customWidth="1"/>
    <col min="13316" max="13316" width="10.44140625" customWidth="1"/>
    <col min="13317" max="13317" width="9.5546875" customWidth="1"/>
    <col min="13318" max="13318" width="11" customWidth="1"/>
    <col min="13319" max="13319" width="5.6640625" customWidth="1"/>
    <col min="13320" max="13320" width="9.44140625" bestFit="1" customWidth="1"/>
    <col min="13321" max="13321" width="11.33203125" customWidth="1"/>
    <col min="13322" max="13322" width="6.88671875" customWidth="1"/>
    <col min="13323" max="13323" width="8.33203125" customWidth="1"/>
    <col min="13324" max="13324" width="15.44140625" customWidth="1"/>
    <col min="13325" max="13325" width="4.33203125" customWidth="1"/>
    <col min="13326" max="13326" width="19" customWidth="1"/>
    <col min="13327" max="13327" width="10.88671875" customWidth="1"/>
    <col min="13328" max="13328" width="11.6640625" customWidth="1"/>
    <col min="13329" max="13329" width="27.6640625" customWidth="1"/>
    <col min="13330" max="13330" width="6" customWidth="1"/>
    <col min="13331" max="13331" width="12.109375" customWidth="1"/>
    <col min="13332" max="13332" width="10.33203125" customWidth="1"/>
    <col min="13333" max="13333" width="10.109375" customWidth="1"/>
    <col min="13334" max="13334" width="11.44140625" customWidth="1"/>
    <col min="13335" max="13335" width="15.109375" customWidth="1"/>
    <col min="13336" max="13336" width="15.44140625" customWidth="1"/>
    <col min="13570" max="13570" width="5.6640625" customWidth="1"/>
    <col min="13571" max="13571" width="6.44140625" customWidth="1"/>
    <col min="13572" max="13572" width="10.44140625" customWidth="1"/>
    <col min="13573" max="13573" width="9.5546875" customWidth="1"/>
    <col min="13574" max="13574" width="11" customWidth="1"/>
    <col min="13575" max="13575" width="5.6640625" customWidth="1"/>
    <col min="13576" max="13576" width="9.44140625" bestFit="1" customWidth="1"/>
    <col min="13577" max="13577" width="11.33203125" customWidth="1"/>
    <col min="13578" max="13578" width="6.88671875" customWidth="1"/>
    <col min="13579" max="13579" width="8.33203125" customWidth="1"/>
    <col min="13580" max="13580" width="15.44140625" customWidth="1"/>
    <col min="13581" max="13581" width="4.33203125" customWidth="1"/>
    <col min="13582" max="13582" width="19" customWidth="1"/>
    <col min="13583" max="13583" width="10.88671875" customWidth="1"/>
    <col min="13584" max="13584" width="11.6640625" customWidth="1"/>
    <col min="13585" max="13585" width="27.6640625" customWidth="1"/>
    <col min="13586" max="13586" width="6" customWidth="1"/>
    <col min="13587" max="13587" width="12.109375" customWidth="1"/>
    <col min="13588" max="13588" width="10.33203125" customWidth="1"/>
    <col min="13589" max="13589" width="10.109375" customWidth="1"/>
    <col min="13590" max="13590" width="11.44140625" customWidth="1"/>
    <col min="13591" max="13591" width="15.109375" customWidth="1"/>
    <col min="13592" max="13592" width="15.44140625" customWidth="1"/>
    <col min="13826" max="13826" width="5.6640625" customWidth="1"/>
    <col min="13827" max="13827" width="6.44140625" customWidth="1"/>
    <col min="13828" max="13828" width="10.44140625" customWidth="1"/>
    <col min="13829" max="13829" width="9.5546875" customWidth="1"/>
    <col min="13830" max="13830" width="11" customWidth="1"/>
    <col min="13831" max="13831" width="5.6640625" customWidth="1"/>
    <col min="13832" max="13832" width="9.44140625" bestFit="1" customWidth="1"/>
    <col min="13833" max="13833" width="11.33203125" customWidth="1"/>
    <col min="13834" max="13834" width="6.88671875" customWidth="1"/>
    <col min="13835" max="13835" width="8.33203125" customWidth="1"/>
    <col min="13836" max="13836" width="15.44140625" customWidth="1"/>
    <col min="13837" max="13837" width="4.33203125" customWidth="1"/>
    <col min="13838" max="13838" width="19" customWidth="1"/>
    <col min="13839" max="13839" width="10.88671875" customWidth="1"/>
    <col min="13840" max="13840" width="11.6640625" customWidth="1"/>
    <col min="13841" max="13841" width="27.6640625" customWidth="1"/>
    <col min="13842" max="13842" width="6" customWidth="1"/>
    <col min="13843" max="13843" width="12.109375" customWidth="1"/>
    <col min="13844" max="13844" width="10.33203125" customWidth="1"/>
    <col min="13845" max="13845" width="10.109375" customWidth="1"/>
    <col min="13846" max="13846" width="11.44140625" customWidth="1"/>
    <col min="13847" max="13847" width="15.109375" customWidth="1"/>
    <col min="13848" max="13848" width="15.44140625" customWidth="1"/>
    <col min="14082" max="14082" width="5.6640625" customWidth="1"/>
    <col min="14083" max="14083" width="6.44140625" customWidth="1"/>
    <col min="14084" max="14084" width="10.44140625" customWidth="1"/>
    <col min="14085" max="14085" width="9.5546875" customWidth="1"/>
    <col min="14086" max="14086" width="11" customWidth="1"/>
    <col min="14087" max="14087" width="5.6640625" customWidth="1"/>
    <col min="14088" max="14088" width="9.44140625" bestFit="1" customWidth="1"/>
    <col min="14089" max="14089" width="11.33203125" customWidth="1"/>
    <col min="14090" max="14090" width="6.88671875" customWidth="1"/>
    <col min="14091" max="14091" width="8.33203125" customWidth="1"/>
    <col min="14092" max="14092" width="15.44140625" customWidth="1"/>
    <col min="14093" max="14093" width="4.33203125" customWidth="1"/>
    <col min="14094" max="14094" width="19" customWidth="1"/>
    <col min="14095" max="14095" width="10.88671875" customWidth="1"/>
    <col min="14096" max="14096" width="11.6640625" customWidth="1"/>
    <col min="14097" max="14097" width="27.6640625" customWidth="1"/>
    <col min="14098" max="14098" width="6" customWidth="1"/>
    <col min="14099" max="14099" width="12.109375" customWidth="1"/>
    <col min="14100" max="14100" width="10.33203125" customWidth="1"/>
    <col min="14101" max="14101" width="10.109375" customWidth="1"/>
    <col min="14102" max="14102" width="11.44140625" customWidth="1"/>
    <col min="14103" max="14103" width="15.109375" customWidth="1"/>
    <col min="14104" max="14104" width="15.44140625" customWidth="1"/>
    <col min="14338" max="14338" width="5.6640625" customWidth="1"/>
    <col min="14339" max="14339" width="6.44140625" customWidth="1"/>
    <col min="14340" max="14340" width="10.44140625" customWidth="1"/>
    <col min="14341" max="14341" width="9.5546875" customWidth="1"/>
    <col min="14342" max="14342" width="11" customWidth="1"/>
    <col min="14343" max="14343" width="5.6640625" customWidth="1"/>
    <col min="14344" max="14344" width="9.44140625" bestFit="1" customWidth="1"/>
    <col min="14345" max="14345" width="11.33203125" customWidth="1"/>
    <col min="14346" max="14346" width="6.88671875" customWidth="1"/>
    <col min="14347" max="14347" width="8.33203125" customWidth="1"/>
    <col min="14348" max="14348" width="15.44140625" customWidth="1"/>
    <col min="14349" max="14349" width="4.33203125" customWidth="1"/>
    <col min="14350" max="14350" width="19" customWidth="1"/>
    <col min="14351" max="14351" width="10.88671875" customWidth="1"/>
    <col min="14352" max="14352" width="11.6640625" customWidth="1"/>
    <col min="14353" max="14353" width="27.6640625" customWidth="1"/>
    <col min="14354" max="14354" width="6" customWidth="1"/>
    <col min="14355" max="14355" width="12.109375" customWidth="1"/>
    <col min="14356" max="14356" width="10.33203125" customWidth="1"/>
    <col min="14357" max="14357" width="10.109375" customWidth="1"/>
    <col min="14358" max="14358" width="11.44140625" customWidth="1"/>
    <col min="14359" max="14359" width="15.109375" customWidth="1"/>
    <col min="14360" max="14360" width="15.44140625" customWidth="1"/>
    <col min="14594" max="14594" width="5.6640625" customWidth="1"/>
    <col min="14595" max="14595" width="6.44140625" customWidth="1"/>
    <col min="14596" max="14596" width="10.44140625" customWidth="1"/>
    <col min="14597" max="14597" width="9.5546875" customWidth="1"/>
    <col min="14598" max="14598" width="11" customWidth="1"/>
    <col min="14599" max="14599" width="5.6640625" customWidth="1"/>
    <col min="14600" max="14600" width="9.44140625" bestFit="1" customWidth="1"/>
    <col min="14601" max="14601" width="11.33203125" customWidth="1"/>
    <col min="14602" max="14602" width="6.88671875" customWidth="1"/>
    <col min="14603" max="14603" width="8.33203125" customWidth="1"/>
    <col min="14604" max="14604" width="15.44140625" customWidth="1"/>
    <col min="14605" max="14605" width="4.33203125" customWidth="1"/>
    <col min="14606" max="14606" width="19" customWidth="1"/>
    <col min="14607" max="14607" width="10.88671875" customWidth="1"/>
    <col min="14608" max="14608" width="11.6640625" customWidth="1"/>
    <col min="14609" max="14609" width="27.6640625" customWidth="1"/>
    <col min="14610" max="14610" width="6" customWidth="1"/>
    <col min="14611" max="14611" width="12.109375" customWidth="1"/>
    <col min="14612" max="14612" width="10.33203125" customWidth="1"/>
    <col min="14613" max="14613" width="10.109375" customWidth="1"/>
    <col min="14614" max="14614" width="11.44140625" customWidth="1"/>
    <col min="14615" max="14615" width="15.109375" customWidth="1"/>
    <col min="14616" max="14616" width="15.44140625" customWidth="1"/>
    <col min="14850" max="14850" width="5.6640625" customWidth="1"/>
    <col min="14851" max="14851" width="6.44140625" customWidth="1"/>
    <col min="14852" max="14852" width="10.44140625" customWidth="1"/>
    <col min="14853" max="14853" width="9.5546875" customWidth="1"/>
    <col min="14854" max="14854" width="11" customWidth="1"/>
    <col min="14855" max="14855" width="5.6640625" customWidth="1"/>
    <col min="14856" max="14856" width="9.44140625" bestFit="1" customWidth="1"/>
    <col min="14857" max="14857" width="11.33203125" customWidth="1"/>
    <col min="14858" max="14858" width="6.88671875" customWidth="1"/>
    <col min="14859" max="14859" width="8.33203125" customWidth="1"/>
    <col min="14860" max="14860" width="15.44140625" customWidth="1"/>
    <col min="14861" max="14861" width="4.33203125" customWidth="1"/>
    <col min="14862" max="14862" width="19" customWidth="1"/>
    <col min="14863" max="14863" width="10.88671875" customWidth="1"/>
    <col min="14864" max="14864" width="11.6640625" customWidth="1"/>
    <col min="14865" max="14865" width="27.6640625" customWidth="1"/>
    <col min="14866" max="14866" width="6" customWidth="1"/>
    <col min="14867" max="14867" width="12.109375" customWidth="1"/>
    <col min="14868" max="14868" width="10.33203125" customWidth="1"/>
    <col min="14869" max="14869" width="10.109375" customWidth="1"/>
    <col min="14870" max="14870" width="11.44140625" customWidth="1"/>
    <col min="14871" max="14871" width="15.109375" customWidth="1"/>
    <col min="14872" max="14872" width="15.44140625" customWidth="1"/>
    <col min="15106" max="15106" width="5.6640625" customWidth="1"/>
    <col min="15107" max="15107" width="6.44140625" customWidth="1"/>
    <col min="15108" max="15108" width="10.44140625" customWidth="1"/>
    <col min="15109" max="15109" width="9.5546875" customWidth="1"/>
    <col min="15110" max="15110" width="11" customWidth="1"/>
    <col min="15111" max="15111" width="5.6640625" customWidth="1"/>
    <col min="15112" max="15112" width="9.44140625" bestFit="1" customWidth="1"/>
    <col min="15113" max="15113" width="11.33203125" customWidth="1"/>
    <col min="15114" max="15114" width="6.88671875" customWidth="1"/>
    <col min="15115" max="15115" width="8.33203125" customWidth="1"/>
    <col min="15116" max="15116" width="15.44140625" customWidth="1"/>
    <col min="15117" max="15117" width="4.33203125" customWidth="1"/>
    <col min="15118" max="15118" width="19" customWidth="1"/>
    <col min="15119" max="15119" width="10.88671875" customWidth="1"/>
    <col min="15120" max="15120" width="11.6640625" customWidth="1"/>
    <col min="15121" max="15121" width="27.6640625" customWidth="1"/>
    <col min="15122" max="15122" width="6" customWidth="1"/>
    <col min="15123" max="15123" width="12.109375" customWidth="1"/>
    <col min="15124" max="15124" width="10.33203125" customWidth="1"/>
    <col min="15125" max="15125" width="10.109375" customWidth="1"/>
    <col min="15126" max="15126" width="11.44140625" customWidth="1"/>
    <col min="15127" max="15127" width="15.109375" customWidth="1"/>
    <col min="15128" max="15128" width="15.44140625" customWidth="1"/>
    <col min="15362" max="15362" width="5.6640625" customWidth="1"/>
    <col min="15363" max="15363" width="6.44140625" customWidth="1"/>
    <col min="15364" max="15364" width="10.44140625" customWidth="1"/>
    <col min="15365" max="15365" width="9.5546875" customWidth="1"/>
    <col min="15366" max="15366" width="11" customWidth="1"/>
    <col min="15367" max="15367" width="5.6640625" customWidth="1"/>
    <col min="15368" max="15368" width="9.44140625" bestFit="1" customWidth="1"/>
    <col min="15369" max="15369" width="11.33203125" customWidth="1"/>
    <col min="15370" max="15370" width="6.88671875" customWidth="1"/>
    <col min="15371" max="15371" width="8.33203125" customWidth="1"/>
    <col min="15372" max="15372" width="15.44140625" customWidth="1"/>
    <col min="15373" max="15373" width="4.33203125" customWidth="1"/>
    <col min="15374" max="15374" width="19" customWidth="1"/>
    <col min="15375" max="15375" width="10.88671875" customWidth="1"/>
    <col min="15376" max="15376" width="11.6640625" customWidth="1"/>
    <col min="15377" max="15377" width="27.6640625" customWidth="1"/>
    <col min="15378" max="15378" width="6" customWidth="1"/>
    <col min="15379" max="15379" width="12.109375" customWidth="1"/>
    <col min="15380" max="15380" width="10.33203125" customWidth="1"/>
    <col min="15381" max="15381" width="10.109375" customWidth="1"/>
    <col min="15382" max="15382" width="11.44140625" customWidth="1"/>
    <col min="15383" max="15383" width="15.109375" customWidth="1"/>
    <col min="15384" max="15384" width="15.44140625" customWidth="1"/>
    <col min="15618" max="15618" width="5.6640625" customWidth="1"/>
    <col min="15619" max="15619" width="6.44140625" customWidth="1"/>
    <col min="15620" max="15620" width="10.44140625" customWidth="1"/>
    <col min="15621" max="15621" width="9.5546875" customWidth="1"/>
    <col min="15622" max="15622" width="11" customWidth="1"/>
    <col min="15623" max="15623" width="5.6640625" customWidth="1"/>
    <col min="15624" max="15624" width="9.44140625" bestFit="1" customWidth="1"/>
    <col min="15625" max="15625" width="11.33203125" customWidth="1"/>
    <col min="15626" max="15626" width="6.88671875" customWidth="1"/>
    <col min="15627" max="15627" width="8.33203125" customWidth="1"/>
    <col min="15628" max="15628" width="15.44140625" customWidth="1"/>
    <col min="15629" max="15629" width="4.33203125" customWidth="1"/>
    <col min="15630" max="15630" width="19" customWidth="1"/>
    <col min="15631" max="15631" width="10.88671875" customWidth="1"/>
    <col min="15632" max="15632" width="11.6640625" customWidth="1"/>
    <col min="15633" max="15633" width="27.6640625" customWidth="1"/>
    <col min="15634" max="15634" width="6" customWidth="1"/>
    <col min="15635" max="15635" width="12.109375" customWidth="1"/>
    <col min="15636" max="15636" width="10.33203125" customWidth="1"/>
    <col min="15637" max="15637" width="10.109375" customWidth="1"/>
    <col min="15638" max="15638" width="11.44140625" customWidth="1"/>
    <col min="15639" max="15639" width="15.109375" customWidth="1"/>
    <col min="15640" max="15640" width="15.44140625" customWidth="1"/>
    <col min="15874" max="15874" width="5.6640625" customWidth="1"/>
    <col min="15875" max="15875" width="6.44140625" customWidth="1"/>
    <col min="15876" max="15876" width="10.44140625" customWidth="1"/>
    <col min="15877" max="15877" width="9.5546875" customWidth="1"/>
    <col min="15878" max="15878" width="11" customWidth="1"/>
    <col min="15879" max="15879" width="5.6640625" customWidth="1"/>
    <col min="15880" max="15880" width="9.44140625" bestFit="1" customWidth="1"/>
    <col min="15881" max="15881" width="11.33203125" customWidth="1"/>
    <col min="15882" max="15882" width="6.88671875" customWidth="1"/>
    <col min="15883" max="15883" width="8.33203125" customWidth="1"/>
    <col min="15884" max="15884" width="15.44140625" customWidth="1"/>
    <col min="15885" max="15885" width="4.33203125" customWidth="1"/>
    <col min="15886" max="15886" width="19" customWidth="1"/>
    <col min="15887" max="15887" width="10.88671875" customWidth="1"/>
    <col min="15888" max="15888" width="11.6640625" customWidth="1"/>
    <col min="15889" max="15889" width="27.6640625" customWidth="1"/>
    <col min="15890" max="15890" width="6" customWidth="1"/>
    <col min="15891" max="15891" width="12.109375" customWidth="1"/>
    <col min="15892" max="15892" width="10.33203125" customWidth="1"/>
    <col min="15893" max="15893" width="10.109375" customWidth="1"/>
    <col min="15894" max="15894" width="11.44140625" customWidth="1"/>
    <col min="15895" max="15895" width="15.109375" customWidth="1"/>
    <col min="15896" max="15896" width="15.44140625" customWidth="1"/>
    <col min="16130" max="16130" width="5.6640625" customWidth="1"/>
    <col min="16131" max="16131" width="6.44140625" customWidth="1"/>
    <col min="16132" max="16132" width="10.44140625" customWidth="1"/>
    <col min="16133" max="16133" width="9.5546875" customWidth="1"/>
    <col min="16134" max="16134" width="11" customWidth="1"/>
    <col min="16135" max="16135" width="5.6640625" customWidth="1"/>
    <col min="16136" max="16136" width="9.44140625" bestFit="1" customWidth="1"/>
    <col min="16137" max="16137" width="11.33203125" customWidth="1"/>
    <col min="16138" max="16138" width="6.88671875" customWidth="1"/>
    <col min="16139" max="16139" width="8.33203125" customWidth="1"/>
    <col min="16140" max="16140" width="15.44140625" customWidth="1"/>
    <col min="16141" max="16141" width="4.33203125" customWidth="1"/>
    <col min="16142" max="16142" width="19" customWidth="1"/>
    <col min="16143" max="16143" width="10.88671875" customWidth="1"/>
    <col min="16144" max="16144" width="11.6640625" customWidth="1"/>
    <col min="16145" max="16145" width="27.6640625" customWidth="1"/>
    <col min="16146" max="16146" width="6" customWidth="1"/>
    <col min="16147" max="16147" width="12.109375" customWidth="1"/>
    <col min="16148" max="16148" width="10.33203125" customWidth="1"/>
    <col min="16149" max="16149" width="10.109375" customWidth="1"/>
    <col min="16150" max="16150" width="11.44140625" customWidth="1"/>
    <col min="16151" max="16151" width="15.109375" customWidth="1"/>
    <col min="16152" max="16152" width="15.44140625" customWidth="1"/>
  </cols>
  <sheetData>
    <row r="1" spans="1:24" ht="15.75" customHeight="1" thickBot="1" x14ac:dyDescent="0.35">
      <c r="A1" s="98"/>
      <c r="B1" s="98"/>
      <c r="C1" s="98"/>
      <c r="D1" s="98"/>
      <c r="E1" s="98"/>
      <c r="F1" s="98"/>
      <c r="G1" s="98"/>
      <c r="H1" s="98"/>
      <c r="I1" s="492" t="s">
        <v>64</v>
      </c>
      <c r="J1" s="493"/>
      <c r="K1" s="100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9"/>
    </row>
    <row r="2" spans="1:24" s="2" customFormat="1" ht="68.25" customHeight="1" thickBot="1" x14ac:dyDescent="0.35">
      <c r="A2" s="102" t="s">
        <v>25</v>
      </c>
      <c r="B2" s="101" t="s">
        <v>26</v>
      </c>
      <c r="C2" s="101" t="s">
        <v>231</v>
      </c>
      <c r="D2" s="103" t="s">
        <v>60</v>
      </c>
      <c r="E2" s="101" t="s">
        <v>61</v>
      </c>
      <c r="F2" s="104" t="s">
        <v>466</v>
      </c>
      <c r="G2" s="101" t="s">
        <v>235</v>
      </c>
      <c r="H2" s="105" t="s">
        <v>467</v>
      </c>
      <c r="I2" s="101" t="s">
        <v>276</v>
      </c>
      <c r="J2" s="101" t="s">
        <v>56</v>
      </c>
      <c r="K2" s="104" t="s">
        <v>456</v>
      </c>
      <c r="L2" s="104" t="s">
        <v>247</v>
      </c>
      <c r="M2" s="104" t="s">
        <v>457</v>
      </c>
      <c r="N2" s="104" t="s">
        <v>249</v>
      </c>
      <c r="O2" s="104" t="s">
        <v>458</v>
      </c>
      <c r="P2" s="104" t="s">
        <v>468</v>
      </c>
      <c r="Q2" s="104" t="s">
        <v>469</v>
      </c>
      <c r="R2" s="104" t="s">
        <v>470</v>
      </c>
      <c r="S2" s="104" t="s">
        <v>471</v>
      </c>
      <c r="T2" s="104" t="s">
        <v>472</v>
      </c>
      <c r="U2" s="104" t="s">
        <v>473</v>
      </c>
      <c r="V2" s="104" t="s">
        <v>474</v>
      </c>
      <c r="W2" s="104" t="s">
        <v>475</v>
      </c>
      <c r="X2" s="106" t="s">
        <v>91</v>
      </c>
    </row>
    <row r="3" spans="1:24" s="14" customFormat="1" x14ac:dyDescent="0.3">
      <c r="A3" s="283">
        <v>707605206904895</v>
      </c>
      <c r="B3" s="68">
        <v>750</v>
      </c>
      <c r="C3" s="68" t="s">
        <v>92</v>
      </c>
      <c r="D3" s="68" t="s">
        <v>154</v>
      </c>
      <c r="E3" s="68" t="s">
        <v>476</v>
      </c>
      <c r="F3" s="68" t="s">
        <v>258</v>
      </c>
      <c r="G3" s="68" t="s">
        <v>151</v>
      </c>
      <c r="H3" s="69">
        <v>16633</v>
      </c>
      <c r="I3" s="287">
        <f ca="1">INT((TODAY()-H3)/365.25)</f>
        <v>79</v>
      </c>
      <c r="J3" s="287">
        <v>6</v>
      </c>
      <c r="K3" s="284"/>
      <c r="L3" s="284" t="s">
        <v>477</v>
      </c>
      <c r="M3" s="284"/>
      <c r="N3" s="285" t="s">
        <v>478</v>
      </c>
      <c r="O3" s="285">
        <v>44943</v>
      </c>
      <c r="P3" s="284" t="s">
        <v>479</v>
      </c>
      <c r="Q3" s="286" t="s">
        <v>480</v>
      </c>
      <c r="R3" s="286" t="s">
        <v>481</v>
      </c>
      <c r="S3" s="286" t="s">
        <v>98</v>
      </c>
      <c r="T3" s="286" t="s">
        <v>114</v>
      </c>
      <c r="U3" s="286" t="s">
        <v>482</v>
      </c>
      <c r="V3" s="286">
        <v>342254120</v>
      </c>
      <c r="W3" s="286" t="s">
        <v>483</v>
      </c>
      <c r="X3" s="286"/>
    </row>
    <row r="4" spans="1:24" s="12" customFormat="1" x14ac:dyDescent="0.3">
      <c r="A4" s="301"/>
      <c r="B4" s="301"/>
      <c r="C4" s="301"/>
      <c r="D4" s="301"/>
      <c r="E4" s="301"/>
      <c r="F4" s="301"/>
      <c r="G4" s="301"/>
      <c r="H4" s="302"/>
      <c r="I4" s="229"/>
      <c r="J4" s="229"/>
      <c r="K4" s="303"/>
      <c r="L4" s="303"/>
      <c r="M4" s="303"/>
      <c r="N4" s="303"/>
      <c r="O4" s="304"/>
      <c r="P4" s="303"/>
      <c r="Q4" s="305"/>
      <c r="R4" s="305"/>
      <c r="S4" s="305"/>
      <c r="T4" s="305"/>
      <c r="U4" s="305"/>
      <c r="V4" s="305"/>
      <c r="W4" s="71"/>
      <c r="X4" s="71"/>
    </row>
    <row r="5" spans="1:24" s="12" customFormat="1" x14ac:dyDescent="0.3">
      <c r="A5" s="301"/>
      <c r="B5" s="301"/>
      <c r="C5" s="301"/>
      <c r="D5" s="301"/>
      <c r="E5" s="301"/>
      <c r="F5" s="301"/>
      <c r="G5" s="301"/>
      <c r="H5" s="302"/>
      <c r="I5" s="229"/>
      <c r="J5" s="229"/>
      <c r="K5" s="303"/>
      <c r="L5" s="303"/>
      <c r="M5" s="303"/>
      <c r="N5" s="303"/>
      <c r="O5" s="304"/>
      <c r="P5" s="303"/>
      <c r="Q5" s="305"/>
      <c r="R5" s="305"/>
      <c r="S5" s="306"/>
      <c r="T5" s="306"/>
      <c r="U5" s="306"/>
      <c r="V5" s="306"/>
      <c r="W5" s="305"/>
      <c r="X5" s="305"/>
    </row>
    <row r="6" spans="1:24" s="12" customFormat="1" x14ac:dyDescent="0.3">
      <c r="A6" s="301"/>
      <c r="B6" s="301"/>
      <c r="C6" s="301"/>
      <c r="D6" s="301"/>
      <c r="E6" s="301"/>
      <c r="F6" s="301"/>
      <c r="G6" s="301"/>
      <c r="H6" s="302"/>
      <c r="I6" s="229"/>
      <c r="J6" s="229"/>
      <c r="K6" s="303"/>
      <c r="L6" s="303"/>
      <c r="M6" s="303"/>
      <c r="N6" s="303"/>
      <c r="O6" s="304"/>
      <c r="P6" s="303"/>
      <c r="Q6" s="305"/>
      <c r="R6" s="305"/>
      <c r="S6" s="306"/>
      <c r="T6" s="306"/>
      <c r="U6" s="306"/>
      <c r="V6" s="306"/>
      <c r="W6" s="305"/>
      <c r="X6" s="305"/>
    </row>
    <row r="7" spans="1:24" x14ac:dyDescent="0.3">
      <c r="A7" s="307"/>
      <c r="B7" s="301"/>
      <c r="C7" s="301"/>
      <c r="D7" s="301"/>
      <c r="E7" s="301"/>
      <c r="F7" s="301"/>
      <c r="G7" s="301"/>
      <c r="H7" s="302"/>
      <c r="I7" s="229"/>
      <c r="J7" s="229"/>
      <c r="K7" s="303"/>
      <c r="L7" s="303"/>
      <c r="M7" s="303"/>
      <c r="N7" s="303"/>
      <c r="O7" s="304"/>
      <c r="P7" s="303"/>
      <c r="Q7" s="306"/>
      <c r="R7" s="45"/>
      <c r="S7" s="306"/>
      <c r="T7" s="306"/>
      <c r="U7" s="306"/>
      <c r="V7" s="306"/>
      <c r="W7" s="45"/>
      <c r="X7" s="45"/>
    </row>
    <row r="8" spans="1:24" x14ac:dyDescent="0.3">
      <c r="A8" s="231"/>
      <c r="B8" s="301"/>
      <c r="C8" s="233"/>
      <c r="D8" s="233"/>
      <c r="E8" s="233"/>
      <c r="F8" s="233"/>
      <c r="G8" s="233"/>
      <c r="H8" s="302"/>
      <c r="I8" s="229"/>
      <c r="J8" s="229"/>
      <c r="K8" s="303"/>
      <c r="L8" s="303"/>
      <c r="N8" s="303"/>
      <c r="O8" s="215"/>
      <c r="P8" s="46"/>
      <c r="Q8" s="308"/>
      <c r="R8" s="43"/>
      <c r="S8" s="309"/>
      <c r="T8" s="309"/>
      <c r="U8" s="309"/>
      <c r="V8" s="309"/>
      <c r="W8" s="308"/>
      <c r="X8" s="43"/>
    </row>
    <row r="9" spans="1:24" x14ac:dyDescent="0.3">
      <c r="A9" s="310"/>
      <c r="B9" s="310"/>
      <c r="C9" s="310"/>
      <c r="D9" s="310"/>
      <c r="E9" s="310"/>
      <c r="F9" s="310"/>
      <c r="G9" s="310"/>
      <c r="H9" s="311"/>
      <c r="I9" s="229"/>
      <c r="J9" s="229"/>
      <c r="K9" s="72"/>
      <c r="L9" s="72"/>
      <c r="M9" s="72"/>
      <c r="N9" s="72"/>
      <c r="O9" s="238"/>
      <c r="P9" s="72"/>
      <c r="Q9" s="309"/>
      <c r="R9" s="309"/>
      <c r="S9" s="309"/>
      <c r="T9" s="309"/>
      <c r="U9" s="309"/>
      <c r="V9" s="306"/>
      <c r="W9" s="306"/>
      <c r="X9" s="309"/>
    </row>
    <row r="10" spans="1:24" x14ac:dyDescent="0.3">
      <c r="A10" s="310"/>
      <c r="B10" s="310"/>
      <c r="C10" s="310"/>
      <c r="D10" s="310"/>
      <c r="E10" s="310"/>
      <c r="F10" s="310"/>
      <c r="G10" s="310"/>
      <c r="H10" s="311"/>
      <c r="I10" s="229"/>
      <c r="J10" s="229"/>
      <c r="K10" s="72"/>
      <c r="L10" s="72"/>
      <c r="M10" s="72"/>
      <c r="N10" s="72"/>
      <c r="O10" s="238"/>
      <c r="P10" s="72"/>
      <c r="Q10" s="309"/>
      <c r="R10" s="309"/>
      <c r="S10" s="309"/>
      <c r="T10" s="309"/>
      <c r="U10" s="309"/>
      <c r="V10" s="309"/>
      <c r="W10" s="309"/>
      <c r="X10" s="309"/>
    </row>
    <row r="11" spans="1:24" x14ac:dyDescent="0.3">
      <c r="A11" s="310"/>
      <c r="B11" s="310"/>
      <c r="C11" s="310"/>
      <c r="D11" s="310"/>
      <c r="E11" s="310"/>
      <c r="F11" s="310"/>
      <c r="G11" s="310"/>
      <c r="H11" s="311"/>
      <c r="I11" s="229"/>
      <c r="J11" s="229"/>
      <c r="K11" s="72"/>
      <c r="L11" s="72"/>
      <c r="M11" s="72"/>
      <c r="N11" s="72"/>
      <c r="O11" s="238"/>
      <c r="P11" s="72"/>
      <c r="Q11" s="309"/>
      <c r="R11" s="309"/>
      <c r="S11" s="309"/>
      <c r="T11" s="309"/>
      <c r="U11" s="309"/>
      <c r="V11" s="309"/>
      <c r="W11" s="309"/>
      <c r="X11" s="309"/>
    </row>
    <row r="12" spans="1:24" x14ac:dyDescent="0.3">
      <c r="A12" s="310"/>
      <c r="B12" s="310"/>
      <c r="C12" s="310"/>
      <c r="D12" s="310"/>
      <c r="E12" s="310"/>
      <c r="F12" s="310"/>
      <c r="G12" s="310"/>
      <c r="H12" s="311"/>
      <c r="I12" s="229"/>
      <c r="J12" s="229"/>
      <c r="K12" s="72"/>
      <c r="L12" s="72"/>
      <c r="M12" s="72"/>
      <c r="N12" s="72"/>
      <c r="O12" s="238"/>
      <c r="P12" s="72"/>
      <c r="Q12" s="309"/>
      <c r="R12" s="309"/>
      <c r="S12" s="309"/>
      <c r="T12" s="309"/>
      <c r="U12" s="309"/>
      <c r="V12" s="309"/>
      <c r="W12" s="309"/>
      <c r="X12" s="309"/>
    </row>
    <row r="13" spans="1:24" x14ac:dyDescent="0.3">
      <c r="A13" s="310"/>
      <c r="B13" s="310"/>
      <c r="C13" s="310"/>
      <c r="D13" s="310"/>
      <c r="E13" s="310"/>
      <c r="F13" s="310"/>
      <c r="G13" s="310"/>
      <c r="H13" s="311"/>
      <c r="I13" s="229"/>
      <c r="J13" s="229"/>
      <c r="K13" s="72"/>
      <c r="L13" s="72"/>
      <c r="M13" s="72"/>
      <c r="N13" s="72"/>
      <c r="O13" s="238"/>
      <c r="P13" s="72"/>
      <c r="Q13" s="309"/>
      <c r="R13" s="309"/>
      <c r="S13" s="309"/>
      <c r="T13" s="309"/>
      <c r="U13" s="309"/>
      <c r="V13" s="309"/>
      <c r="W13" s="309"/>
      <c r="X13" s="309"/>
    </row>
    <row r="14" spans="1:24" x14ac:dyDescent="0.3">
      <c r="A14" s="310"/>
      <c r="B14" s="310"/>
      <c r="C14" s="310"/>
      <c r="D14" s="310"/>
      <c r="E14" s="310"/>
      <c r="F14" s="310"/>
      <c r="G14" s="310"/>
      <c r="H14" s="310"/>
      <c r="I14" s="229"/>
      <c r="J14" s="229"/>
      <c r="K14" s="72"/>
      <c r="L14" s="72"/>
      <c r="M14" s="72"/>
      <c r="N14" s="72"/>
      <c r="O14" s="72"/>
      <c r="P14" s="72"/>
      <c r="Q14" s="309"/>
      <c r="R14" s="309"/>
      <c r="S14" s="309"/>
      <c r="T14" s="309"/>
      <c r="U14" s="309"/>
      <c r="V14" s="309"/>
      <c r="W14" s="309"/>
      <c r="X14" s="309"/>
    </row>
    <row r="15" spans="1:24" x14ac:dyDescent="0.3">
      <c r="A15" s="310"/>
      <c r="B15" s="310"/>
      <c r="C15" s="310"/>
      <c r="D15" s="310"/>
      <c r="E15" s="310"/>
      <c r="F15" s="310"/>
      <c r="G15" s="310"/>
      <c r="H15" s="310"/>
      <c r="I15" s="229"/>
      <c r="J15" s="229"/>
      <c r="K15" s="72"/>
      <c r="L15" s="72"/>
      <c r="M15" s="72"/>
      <c r="N15" s="72"/>
      <c r="O15" s="72"/>
      <c r="P15" s="72"/>
      <c r="Q15" s="309"/>
      <c r="R15" s="309"/>
      <c r="S15" s="309"/>
      <c r="T15" s="309"/>
      <c r="U15" s="309"/>
      <c r="V15" s="309"/>
      <c r="W15" s="309"/>
      <c r="X15" s="309"/>
    </row>
    <row r="16" spans="1:24" x14ac:dyDescent="0.3">
      <c r="A16" s="310"/>
      <c r="B16" s="310"/>
      <c r="C16" s="310"/>
      <c r="D16" s="310"/>
      <c r="E16" s="310"/>
      <c r="F16" s="310"/>
      <c r="G16" s="310"/>
      <c r="H16" s="310"/>
      <c r="I16" s="229"/>
      <c r="J16" s="229"/>
      <c r="K16" s="72"/>
      <c r="L16" s="72"/>
      <c r="M16" s="72"/>
      <c r="N16" s="72"/>
      <c r="O16" s="72"/>
      <c r="P16" s="72"/>
      <c r="Q16" s="309"/>
      <c r="R16" s="309"/>
      <c r="S16" s="309"/>
      <c r="T16" s="309"/>
      <c r="U16" s="309"/>
      <c r="V16" s="309"/>
      <c r="W16" s="309"/>
      <c r="X16" s="309"/>
    </row>
    <row r="17" spans="1:24" x14ac:dyDescent="0.3">
      <c r="A17" s="310"/>
      <c r="B17" s="310"/>
      <c r="C17" s="310"/>
      <c r="D17" s="310"/>
      <c r="E17" s="310"/>
      <c r="F17" s="310"/>
      <c r="G17" s="310"/>
      <c r="H17" s="310"/>
      <c r="I17" s="229"/>
      <c r="J17" s="229"/>
      <c r="K17" s="72"/>
      <c r="L17" s="72"/>
      <c r="M17" s="72"/>
      <c r="N17" s="72"/>
      <c r="O17" s="72"/>
      <c r="P17" s="72"/>
      <c r="Q17" s="309"/>
      <c r="R17" s="309"/>
      <c r="S17" s="309"/>
      <c r="T17" s="309"/>
      <c r="U17" s="309"/>
      <c r="V17" s="309"/>
      <c r="W17" s="309"/>
      <c r="X17" s="309"/>
    </row>
    <row r="18" spans="1:24" x14ac:dyDescent="0.3">
      <c r="A18" s="310"/>
      <c r="B18" s="310"/>
      <c r="C18" s="310"/>
      <c r="D18" s="310"/>
      <c r="E18" s="310"/>
      <c r="F18" s="310"/>
      <c r="G18" s="310"/>
      <c r="H18" s="310"/>
      <c r="I18" s="229"/>
      <c r="J18" s="229"/>
      <c r="K18" s="72"/>
      <c r="L18" s="72"/>
      <c r="M18" s="72"/>
      <c r="N18" s="72"/>
      <c r="O18" s="72"/>
      <c r="P18" s="72"/>
      <c r="Q18" s="309"/>
      <c r="R18" s="309"/>
      <c r="S18" s="309"/>
      <c r="T18" s="309"/>
      <c r="U18" s="309"/>
      <c r="V18" s="309"/>
      <c r="W18" s="309"/>
      <c r="X18" s="309"/>
    </row>
    <row r="19" spans="1:24" x14ac:dyDescent="0.3">
      <c r="A19" s="310"/>
      <c r="B19" s="310"/>
      <c r="C19" s="310"/>
      <c r="D19" s="310"/>
      <c r="E19" s="310"/>
      <c r="F19" s="310"/>
      <c r="G19" s="310"/>
      <c r="H19" s="310"/>
      <c r="I19" s="229"/>
      <c r="J19" s="229"/>
      <c r="K19" s="72"/>
      <c r="L19" s="72"/>
      <c r="M19" s="72"/>
      <c r="N19" s="72"/>
      <c r="O19" s="72"/>
      <c r="P19" s="72"/>
      <c r="Q19" s="309"/>
      <c r="R19" s="309"/>
      <c r="S19" s="309"/>
      <c r="T19" s="309"/>
      <c r="U19" s="309"/>
      <c r="V19" s="309"/>
      <c r="W19" s="309"/>
      <c r="X19" s="309"/>
    </row>
    <row r="20" spans="1:24" x14ac:dyDescent="0.3">
      <c r="A20" s="310"/>
      <c r="B20" s="310"/>
      <c r="C20" s="310"/>
      <c r="D20" s="310"/>
      <c r="E20" s="310"/>
      <c r="F20" s="310"/>
      <c r="G20" s="310"/>
      <c r="H20" s="310"/>
      <c r="I20" s="229"/>
      <c r="J20" s="229"/>
      <c r="K20" s="72"/>
      <c r="L20" s="72"/>
      <c r="M20" s="72"/>
      <c r="N20" s="72"/>
      <c r="O20" s="72"/>
      <c r="P20" s="72"/>
      <c r="Q20" s="309"/>
      <c r="R20" s="309"/>
      <c r="S20" s="309"/>
      <c r="T20" s="309"/>
      <c r="U20" s="309"/>
      <c r="V20" s="309"/>
      <c r="W20" s="309"/>
      <c r="X20" s="309"/>
    </row>
    <row r="21" spans="1:24" x14ac:dyDescent="0.3">
      <c r="A21" s="310"/>
      <c r="B21" s="310"/>
      <c r="C21" s="310"/>
      <c r="D21" s="310"/>
      <c r="E21" s="310"/>
      <c r="F21" s="310"/>
      <c r="G21" s="310"/>
      <c r="H21" s="310"/>
      <c r="I21" s="229"/>
      <c r="J21" s="229"/>
      <c r="K21" s="72"/>
      <c r="L21" s="72"/>
      <c r="M21" s="72"/>
      <c r="N21" s="72"/>
      <c r="O21" s="72"/>
      <c r="P21" s="72"/>
      <c r="Q21" s="309"/>
      <c r="R21" s="309"/>
      <c r="S21" s="309"/>
      <c r="T21" s="309"/>
      <c r="U21" s="309"/>
      <c r="V21" s="309"/>
      <c r="W21" s="309"/>
      <c r="X21" s="309"/>
    </row>
    <row r="22" spans="1:24" x14ac:dyDescent="0.3">
      <c r="A22" s="310"/>
      <c r="B22" s="310"/>
      <c r="C22" s="310"/>
      <c r="D22" s="310"/>
      <c r="E22" s="310"/>
      <c r="F22" s="310"/>
      <c r="G22" s="310"/>
      <c r="H22" s="310"/>
      <c r="I22" s="229"/>
      <c r="J22" s="229"/>
      <c r="K22" s="72"/>
      <c r="L22" s="72"/>
      <c r="M22" s="72"/>
      <c r="N22" s="72"/>
      <c r="O22" s="72"/>
      <c r="P22" s="72"/>
      <c r="Q22" s="309"/>
      <c r="R22" s="309"/>
      <c r="S22" s="309"/>
      <c r="T22" s="309"/>
      <c r="U22" s="309"/>
      <c r="V22" s="309"/>
      <c r="W22" s="309"/>
      <c r="X22" s="309"/>
    </row>
    <row r="23" spans="1:24" x14ac:dyDescent="0.3">
      <c r="A23" s="231"/>
      <c r="B23" s="231"/>
      <c r="C23" s="231"/>
      <c r="D23" s="231"/>
      <c r="E23" s="312"/>
      <c r="F23" s="231"/>
      <c r="G23" s="231"/>
      <c r="H23" s="231"/>
      <c r="I23" s="229"/>
      <c r="J23" s="229"/>
      <c r="K23" s="41"/>
      <c r="L23" s="41"/>
      <c r="M23" s="41"/>
      <c r="N23" s="41"/>
      <c r="O23" s="41"/>
      <c r="P23" s="41"/>
      <c r="Q23" s="43"/>
      <c r="R23" s="43"/>
      <c r="S23" s="43"/>
      <c r="T23" s="43"/>
      <c r="U23" s="43"/>
      <c r="V23" s="43"/>
      <c r="W23" s="43"/>
      <c r="X23" s="43"/>
    </row>
    <row r="24" spans="1:24" x14ac:dyDescent="0.3">
      <c r="A24" s="231"/>
      <c r="B24" s="231"/>
      <c r="C24" s="231"/>
      <c r="D24" s="231"/>
      <c r="E24" s="312"/>
      <c r="F24" s="231"/>
      <c r="G24" s="231"/>
      <c r="H24" s="231"/>
      <c r="I24" s="229"/>
      <c r="J24" s="229"/>
      <c r="K24" s="41"/>
      <c r="L24" s="41"/>
      <c r="M24" s="41"/>
      <c r="N24" s="41"/>
      <c r="O24" s="41"/>
      <c r="P24" s="41"/>
      <c r="Q24" s="43"/>
      <c r="R24" s="43"/>
      <c r="S24" s="43"/>
      <c r="T24" s="43"/>
      <c r="U24" s="43"/>
      <c r="V24" s="43"/>
      <c r="W24" s="43"/>
      <c r="X24" s="43"/>
    </row>
    <row r="25" spans="1:24" x14ac:dyDescent="0.3">
      <c r="A25" s="231"/>
      <c r="B25" s="231"/>
      <c r="C25" s="231"/>
      <c r="D25" s="231"/>
      <c r="E25" s="312"/>
      <c r="F25" s="231"/>
      <c r="G25" s="231"/>
      <c r="H25" s="231"/>
      <c r="I25" s="229"/>
      <c r="J25" s="229"/>
      <c r="K25" s="41"/>
      <c r="L25" s="41"/>
      <c r="M25" s="41"/>
      <c r="N25" s="41"/>
      <c r="O25" s="41"/>
      <c r="P25" s="41"/>
      <c r="Q25" s="43"/>
      <c r="R25" s="43"/>
      <c r="S25" s="43"/>
      <c r="T25" s="43"/>
      <c r="U25" s="43"/>
      <c r="V25" s="43"/>
      <c r="W25" s="43"/>
      <c r="X25" s="43"/>
    </row>
    <row r="26" spans="1:24" x14ac:dyDescent="0.3">
      <c r="A26" s="231"/>
      <c r="B26" s="231"/>
      <c r="C26" s="231"/>
      <c r="D26" s="231"/>
      <c r="E26" s="312"/>
      <c r="F26" s="231"/>
      <c r="G26" s="231"/>
      <c r="H26" s="231"/>
      <c r="I26" s="229"/>
      <c r="J26" s="229"/>
      <c r="K26" s="41"/>
      <c r="L26" s="41"/>
      <c r="M26" s="41"/>
      <c r="N26" s="41"/>
      <c r="O26" s="41"/>
      <c r="P26" s="41"/>
      <c r="Q26" s="43"/>
      <c r="R26" s="43"/>
      <c r="S26" s="43"/>
      <c r="T26" s="43"/>
      <c r="U26" s="43"/>
      <c r="V26" s="43"/>
      <c r="W26" s="43"/>
      <c r="X26" s="43"/>
    </row>
    <row r="27" spans="1:24" x14ac:dyDescent="0.3">
      <c r="A27" s="231"/>
      <c r="B27" s="231"/>
      <c r="C27" s="231"/>
      <c r="D27" s="231"/>
      <c r="E27" s="312"/>
      <c r="F27" s="231"/>
      <c r="G27" s="231"/>
      <c r="H27" s="231"/>
      <c r="I27" s="229"/>
      <c r="J27" s="229"/>
      <c r="K27" s="41"/>
      <c r="L27" s="41"/>
      <c r="M27" s="41"/>
      <c r="N27" s="41"/>
      <c r="O27" s="41"/>
      <c r="P27" s="41"/>
      <c r="Q27" s="43"/>
      <c r="R27" s="43"/>
      <c r="S27" s="43"/>
      <c r="T27" s="43"/>
      <c r="U27" s="43"/>
      <c r="V27" s="43"/>
      <c r="W27" s="43"/>
      <c r="X27" s="43"/>
    </row>
    <row r="28" spans="1:24" x14ac:dyDescent="0.3">
      <c r="A28" s="231"/>
      <c r="B28" s="231"/>
      <c r="C28" s="231"/>
      <c r="D28" s="231"/>
      <c r="E28" s="312"/>
      <c r="F28" s="231"/>
      <c r="G28" s="231"/>
      <c r="H28" s="231"/>
      <c r="I28" s="229"/>
      <c r="J28" s="229"/>
      <c r="K28" s="41"/>
      <c r="L28" s="41"/>
      <c r="M28" s="41"/>
      <c r="N28" s="41"/>
      <c r="O28" s="41"/>
      <c r="P28" s="41"/>
      <c r="Q28" s="43"/>
      <c r="R28" s="43"/>
      <c r="S28" s="43"/>
      <c r="T28" s="43"/>
      <c r="U28" s="43"/>
      <c r="V28" s="43"/>
      <c r="W28" s="43"/>
      <c r="X28" s="43"/>
    </row>
    <row r="29" spans="1:24" x14ac:dyDescent="0.3">
      <c r="A29" s="231"/>
      <c r="B29" s="231"/>
      <c r="C29" s="231"/>
      <c r="D29" s="231"/>
      <c r="E29" s="312"/>
      <c r="F29" s="231"/>
      <c r="G29" s="231"/>
      <c r="H29" s="231"/>
      <c r="I29" s="229"/>
      <c r="J29" s="229"/>
      <c r="K29" s="41"/>
      <c r="L29" s="41"/>
      <c r="M29" s="41"/>
      <c r="N29" s="41"/>
      <c r="O29" s="41"/>
      <c r="P29" s="41"/>
      <c r="Q29" s="43"/>
      <c r="R29" s="43"/>
      <c r="S29" s="43"/>
      <c r="T29" s="43"/>
      <c r="U29" s="43"/>
      <c r="V29" s="43"/>
      <c r="W29" s="43"/>
      <c r="X29" s="43"/>
    </row>
    <row r="30" spans="1:24" x14ac:dyDescent="0.3">
      <c r="A30" s="231"/>
      <c r="B30" s="231"/>
      <c r="C30" s="231"/>
      <c r="D30" s="231"/>
      <c r="E30" s="312"/>
      <c r="F30" s="231"/>
      <c r="G30" s="231"/>
      <c r="H30" s="231"/>
      <c r="I30" s="229"/>
      <c r="J30" s="229"/>
      <c r="K30" s="41"/>
      <c r="L30" s="41"/>
      <c r="M30" s="41"/>
      <c r="N30" s="41"/>
      <c r="O30" s="41"/>
      <c r="P30" s="41"/>
      <c r="Q30" s="43"/>
      <c r="R30" s="43"/>
      <c r="S30" s="43"/>
      <c r="T30" s="43"/>
      <c r="U30" s="43"/>
      <c r="V30" s="43"/>
      <c r="W30" s="43"/>
      <c r="X30" s="43"/>
    </row>
    <row r="31" spans="1:24" x14ac:dyDescent="0.3">
      <c r="A31" s="231"/>
      <c r="B31" s="231"/>
      <c r="C31" s="231"/>
      <c r="D31" s="231"/>
      <c r="E31" s="312"/>
      <c r="F31" s="231"/>
      <c r="G31" s="231"/>
      <c r="H31" s="231"/>
      <c r="I31" s="229"/>
      <c r="J31" s="229"/>
      <c r="K31" s="41"/>
      <c r="L31" s="41"/>
      <c r="M31" s="41"/>
      <c r="N31" s="41"/>
      <c r="O31" s="41"/>
      <c r="P31" s="41"/>
      <c r="Q31" s="43"/>
      <c r="R31" s="43"/>
      <c r="S31" s="43"/>
      <c r="T31" s="43"/>
      <c r="U31" s="43"/>
      <c r="V31" s="43"/>
      <c r="W31" s="43"/>
      <c r="X31" s="43"/>
    </row>
    <row r="32" spans="1:24" x14ac:dyDescent="0.3">
      <c r="A32" s="231"/>
      <c r="B32" s="231"/>
      <c r="C32" s="231"/>
      <c r="D32" s="231"/>
      <c r="E32" s="312"/>
      <c r="F32" s="231"/>
      <c r="G32" s="231"/>
      <c r="H32" s="231"/>
      <c r="I32" s="229"/>
      <c r="J32" s="229"/>
      <c r="K32" s="41"/>
      <c r="L32" s="41"/>
      <c r="M32" s="41"/>
      <c r="N32" s="41"/>
      <c r="O32" s="41"/>
      <c r="P32" s="41"/>
      <c r="Q32" s="43"/>
      <c r="R32" s="43"/>
      <c r="S32" s="43"/>
      <c r="T32" s="43"/>
      <c r="U32" s="43"/>
      <c r="V32" s="43"/>
      <c r="W32" s="43"/>
      <c r="X32" s="43"/>
    </row>
    <row r="33" spans="1:24" x14ac:dyDescent="0.3">
      <c r="A33" s="231"/>
      <c r="B33" s="231"/>
      <c r="C33" s="231"/>
      <c r="D33" s="231"/>
      <c r="E33" s="312"/>
      <c r="F33" s="231"/>
      <c r="G33" s="231"/>
      <c r="H33" s="231"/>
      <c r="I33" s="229"/>
      <c r="J33" s="229"/>
      <c r="K33" s="41"/>
      <c r="L33" s="41"/>
      <c r="M33" s="41"/>
      <c r="N33" s="41"/>
      <c r="O33" s="41"/>
      <c r="P33" s="41"/>
      <c r="Q33" s="43"/>
      <c r="R33" s="43"/>
      <c r="S33" s="43"/>
      <c r="T33" s="43"/>
      <c r="U33" s="43"/>
      <c r="V33" s="43"/>
      <c r="W33" s="43"/>
      <c r="X33" s="43"/>
    </row>
    <row r="34" spans="1:24" x14ac:dyDescent="0.3">
      <c r="A34" s="231"/>
      <c r="B34" s="231"/>
      <c r="C34" s="231"/>
      <c r="D34" s="231"/>
      <c r="E34" s="312"/>
      <c r="F34" s="231"/>
      <c r="G34" s="231"/>
      <c r="H34" s="231"/>
      <c r="I34" s="229"/>
      <c r="J34" s="229"/>
      <c r="K34" s="41"/>
      <c r="L34" s="41"/>
      <c r="M34" s="41"/>
      <c r="N34" s="41"/>
      <c r="O34" s="41"/>
      <c r="P34" s="41"/>
      <c r="Q34" s="43"/>
      <c r="R34" s="43"/>
      <c r="S34" s="43"/>
      <c r="T34" s="43"/>
      <c r="U34" s="43"/>
      <c r="V34" s="43"/>
      <c r="W34" s="43"/>
      <c r="X34" s="43"/>
    </row>
    <row r="35" spans="1:24" x14ac:dyDescent="0.3">
      <c r="A35" s="231"/>
      <c r="B35" s="231"/>
      <c r="C35" s="231"/>
      <c r="D35" s="231"/>
      <c r="E35" s="312"/>
      <c r="F35" s="231"/>
      <c r="G35" s="231"/>
      <c r="H35" s="231"/>
      <c r="I35" s="229"/>
      <c r="J35" s="229"/>
      <c r="K35" s="41"/>
      <c r="L35" s="41"/>
      <c r="M35" s="41"/>
      <c r="N35" s="41"/>
      <c r="O35" s="41"/>
      <c r="P35" s="41"/>
      <c r="Q35" s="43"/>
      <c r="R35" s="43"/>
      <c r="S35" s="43"/>
      <c r="T35" s="43"/>
      <c r="U35" s="43"/>
      <c r="V35" s="43"/>
      <c r="W35" s="43"/>
      <c r="X35" s="43"/>
    </row>
    <row r="36" spans="1:24" x14ac:dyDescent="0.3">
      <c r="A36" s="231"/>
      <c r="B36" s="231"/>
      <c r="C36" s="231"/>
      <c r="D36" s="231"/>
      <c r="E36" s="312"/>
      <c r="F36" s="231"/>
      <c r="G36" s="231"/>
      <c r="H36" s="231"/>
      <c r="I36" s="229">
        <f t="shared" ref="I36:I57" ca="1" si="0">INT((TODAY()-H36)/365.25)</f>
        <v>125</v>
      </c>
      <c r="J36" s="229">
        <f t="shared" ref="J36:J57" ca="1" si="1">INT((TODAY()-H36)/30)</f>
        <v>1526</v>
      </c>
      <c r="K36" s="41"/>
      <c r="L36" s="41"/>
      <c r="M36" s="41"/>
      <c r="N36" s="41"/>
      <c r="O36" s="41"/>
      <c r="P36" s="41"/>
      <c r="Q36" s="43"/>
      <c r="R36" s="43"/>
      <c r="S36" s="43"/>
      <c r="T36" s="43"/>
      <c r="U36" s="43"/>
      <c r="V36" s="43"/>
      <c r="W36" s="43"/>
      <c r="X36" s="43"/>
    </row>
    <row r="37" spans="1:24" x14ac:dyDescent="0.3">
      <c r="A37" s="231"/>
      <c r="B37" s="231"/>
      <c r="C37" s="231"/>
      <c r="D37" s="231"/>
      <c r="E37" s="312"/>
      <c r="F37" s="231"/>
      <c r="G37" s="231"/>
      <c r="H37" s="231"/>
      <c r="I37" s="229">
        <f t="shared" ca="1" si="0"/>
        <v>125</v>
      </c>
      <c r="J37" s="229">
        <f t="shared" ca="1" si="1"/>
        <v>1526</v>
      </c>
      <c r="K37" s="41"/>
      <c r="L37" s="41"/>
      <c r="M37" s="41"/>
      <c r="N37" s="41"/>
      <c r="O37" s="41"/>
      <c r="P37" s="41"/>
      <c r="Q37" s="43"/>
      <c r="R37" s="43"/>
      <c r="S37" s="43"/>
      <c r="T37" s="43"/>
      <c r="U37" s="43"/>
      <c r="V37" s="43"/>
      <c r="W37" s="43"/>
      <c r="X37" s="43"/>
    </row>
    <row r="38" spans="1:24" x14ac:dyDescent="0.3">
      <c r="A38" s="231"/>
      <c r="B38" s="231"/>
      <c r="C38" s="231"/>
      <c r="D38" s="231"/>
      <c r="E38" s="312"/>
      <c r="F38" s="231"/>
      <c r="G38" s="231"/>
      <c r="H38" s="231"/>
      <c r="I38" s="229">
        <f t="shared" ca="1" si="0"/>
        <v>125</v>
      </c>
      <c r="J38" s="229">
        <f t="shared" ca="1" si="1"/>
        <v>1526</v>
      </c>
      <c r="K38" s="41"/>
      <c r="L38" s="41"/>
      <c r="M38" s="41"/>
      <c r="N38" s="41"/>
      <c r="O38" s="41"/>
      <c r="P38" s="41"/>
      <c r="Q38" s="43"/>
      <c r="R38" s="43"/>
      <c r="S38" s="43"/>
      <c r="T38" s="43"/>
      <c r="U38" s="43"/>
      <c r="V38" s="43"/>
      <c r="W38" s="43"/>
      <c r="X38" s="43"/>
    </row>
    <row r="39" spans="1:24" x14ac:dyDescent="0.3">
      <c r="A39" s="231"/>
      <c r="B39" s="231"/>
      <c r="C39" s="231"/>
      <c r="D39" s="231"/>
      <c r="E39" s="312"/>
      <c r="F39" s="231"/>
      <c r="G39" s="231"/>
      <c r="H39" s="231"/>
      <c r="I39" s="229">
        <f t="shared" ca="1" si="0"/>
        <v>125</v>
      </c>
      <c r="J39" s="229">
        <f t="shared" ca="1" si="1"/>
        <v>1526</v>
      </c>
      <c r="K39" s="41"/>
      <c r="L39" s="41"/>
      <c r="M39" s="41"/>
      <c r="N39" s="41"/>
      <c r="O39" s="41"/>
      <c r="P39" s="41"/>
      <c r="Q39" s="43"/>
      <c r="R39" s="43"/>
      <c r="S39" s="43"/>
      <c r="T39" s="43"/>
      <c r="U39" s="43"/>
      <c r="V39" s="43"/>
      <c r="W39" s="43"/>
      <c r="X39" s="43"/>
    </row>
    <row r="40" spans="1:24" x14ac:dyDescent="0.3">
      <c r="A40" s="231"/>
      <c r="B40" s="231"/>
      <c r="C40" s="231"/>
      <c r="D40" s="231"/>
      <c r="E40" s="312"/>
      <c r="F40" s="231"/>
      <c r="G40" s="231"/>
      <c r="H40" s="231"/>
      <c r="I40" s="229">
        <f t="shared" ca="1" si="0"/>
        <v>125</v>
      </c>
      <c r="J40" s="229">
        <f t="shared" ca="1" si="1"/>
        <v>1526</v>
      </c>
      <c r="K40" s="41"/>
      <c r="L40" s="41"/>
      <c r="M40" s="41"/>
      <c r="N40" s="41"/>
      <c r="O40" s="41"/>
      <c r="P40" s="41"/>
      <c r="Q40" s="43"/>
      <c r="R40" s="43"/>
      <c r="S40" s="43"/>
      <c r="T40" s="43"/>
      <c r="U40" s="43"/>
      <c r="V40" s="43"/>
      <c r="W40" s="43"/>
      <c r="X40" s="43"/>
    </row>
    <row r="41" spans="1:24" x14ac:dyDescent="0.3">
      <c r="A41" s="231"/>
      <c r="B41" s="231"/>
      <c r="C41" s="231"/>
      <c r="D41" s="231"/>
      <c r="E41" s="312"/>
      <c r="F41" s="231"/>
      <c r="G41" s="231"/>
      <c r="H41" s="231"/>
      <c r="I41" s="229">
        <f t="shared" ca="1" si="0"/>
        <v>125</v>
      </c>
      <c r="J41" s="229">
        <f t="shared" ca="1" si="1"/>
        <v>1526</v>
      </c>
      <c r="K41" s="41"/>
      <c r="L41" s="41"/>
      <c r="M41" s="41"/>
      <c r="N41" s="41"/>
      <c r="O41" s="41"/>
      <c r="P41" s="41"/>
      <c r="Q41" s="43"/>
      <c r="R41" s="43"/>
      <c r="S41" s="43"/>
      <c r="T41" s="43"/>
      <c r="U41" s="43"/>
      <c r="V41" s="43"/>
      <c r="W41" s="43"/>
      <c r="X41" s="43"/>
    </row>
    <row r="42" spans="1:24" x14ac:dyDescent="0.3">
      <c r="A42" s="231"/>
      <c r="B42" s="231"/>
      <c r="C42" s="231"/>
      <c r="D42" s="231"/>
      <c r="E42" s="312"/>
      <c r="F42" s="231"/>
      <c r="G42" s="231"/>
      <c r="H42" s="231"/>
      <c r="I42" s="229">
        <f t="shared" ca="1" si="0"/>
        <v>125</v>
      </c>
      <c r="J42" s="229">
        <f t="shared" ca="1" si="1"/>
        <v>1526</v>
      </c>
      <c r="K42" s="41"/>
      <c r="L42" s="41"/>
      <c r="M42" s="41"/>
      <c r="N42" s="41"/>
      <c r="O42" s="41"/>
      <c r="P42" s="41"/>
      <c r="Q42" s="43"/>
      <c r="R42" s="43"/>
      <c r="S42" s="43"/>
      <c r="T42" s="43"/>
      <c r="U42" s="43"/>
      <c r="V42" s="43"/>
      <c r="W42" s="43"/>
      <c r="X42" s="43"/>
    </row>
    <row r="43" spans="1:24" x14ac:dyDescent="0.3">
      <c r="A43" s="231"/>
      <c r="B43" s="231"/>
      <c r="C43" s="231"/>
      <c r="D43" s="231"/>
      <c r="E43" s="312"/>
      <c r="F43" s="231"/>
      <c r="G43" s="231"/>
      <c r="H43" s="231"/>
      <c r="I43" s="229">
        <f t="shared" ca="1" si="0"/>
        <v>125</v>
      </c>
      <c r="J43" s="229">
        <f t="shared" ca="1" si="1"/>
        <v>1526</v>
      </c>
      <c r="K43" s="41"/>
      <c r="L43" s="41"/>
      <c r="M43" s="41"/>
      <c r="N43" s="41"/>
      <c r="O43" s="41"/>
      <c r="P43" s="41"/>
      <c r="Q43" s="43"/>
      <c r="R43" s="43"/>
      <c r="S43" s="43"/>
      <c r="T43" s="43"/>
      <c r="U43" s="43"/>
      <c r="V43" s="43"/>
      <c r="W43" s="43"/>
      <c r="X43" s="43"/>
    </row>
    <row r="44" spans="1:24" x14ac:dyDescent="0.3">
      <c r="A44" s="231"/>
      <c r="B44" s="231"/>
      <c r="C44" s="231"/>
      <c r="D44" s="231"/>
      <c r="E44" s="312"/>
      <c r="F44" s="231"/>
      <c r="G44" s="231"/>
      <c r="H44" s="231"/>
      <c r="I44" s="229">
        <f t="shared" ca="1" si="0"/>
        <v>125</v>
      </c>
      <c r="J44" s="229">
        <f t="shared" ca="1" si="1"/>
        <v>1526</v>
      </c>
      <c r="K44" s="41"/>
      <c r="L44" s="41"/>
      <c r="M44" s="41"/>
      <c r="N44" s="41"/>
      <c r="O44" s="41"/>
      <c r="P44" s="41"/>
      <c r="Q44" s="43"/>
      <c r="R44" s="43"/>
      <c r="S44" s="43"/>
      <c r="T44" s="43"/>
      <c r="U44" s="43"/>
      <c r="V44" s="43"/>
      <c r="W44" s="43"/>
      <c r="X44" s="43"/>
    </row>
    <row r="45" spans="1:24" x14ac:dyDescent="0.3">
      <c r="A45" s="231"/>
      <c r="B45" s="231"/>
      <c r="C45" s="231"/>
      <c r="D45" s="231"/>
      <c r="E45" s="312"/>
      <c r="F45" s="231"/>
      <c r="G45" s="231"/>
      <c r="H45" s="231"/>
      <c r="I45" s="229">
        <f t="shared" ca="1" si="0"/>
        <v>125</v>
      </c>
      <c r="J45" s="229">
        <f t="shared" ca="1" si="1"/>
        <v>1526</v>
      </c>
      <c r="K45" s="41"/>
      <c r="L45" s="41"/>
      <c r="M45" s="41"/>
      <c r="N45" s="41"/>
      <c r="O45" s="41"/>
      <c r="P45" s="41"/>
      <c r="Q45" s="43"/>
      <c r="R45" s="43"/>
      <c r="S45" s="43"/>
      <c r="T45" s="43"/>
      <c r="U45" s="43"/>
      <c r="V45" s="43"/>
      <c r="W45" s="43"/>
      <c r="X45" s="43"/>
    </row>
    <row r="46" spans="1:24" x14ac:dyDescent="0.3">
      <c r="A46" s="231"/>
      <c r="B46" s="231"/>
      <c r="C46" s="231"/>
      <c r="D46" s="231"/>
      <c r="E46" s="312"/>
      <c r="F46" s="231"/>
      <c r="G46" s="231"/>
      <c r="H46" s="231"/>
      <c r="I46" s="229">
        <f t="shared" ca="1" si="0"/>
        <v>125</v>
      </c>
      <c r="J46" s="229">
        <f t="shared" ca="1" si="1"/>
        <v>1526</v>
      </c>
      <c r="K46" s="41"/>
      <c r="L46" s="41"/>
      <c r="M46" s="41"/>
      <c r="N46" s="41"/>
      <c r="O46" s="41"/>
      <c r="P46" s="41"/>
      <c r="Q46" s="43"/>
      <c r="R46" s="43"/>
      <c r="S46" s="43"/>
      <c r="T46" s="43"/>
      <c r="U46" s="43"/>
      <c r="V46" s="43"/>
      <c r="W46" s="43"/>
      <c r="X46" s="43"/>
    </row>
    <row r="47" spans="1:24" x14ac:dyDescent="0.3">
      <c r="A47" s="231"/>
      <c r="B47" s="231"/>
      <c r="C47" s="231"/>
      <c r="D47" s="231"/>
      <c r="E47" s="312"/>
      <c r="F47" s="231"/>
      <c r="G47" s="231"/>
      <c r="H47" s="231"/>
      <c r="I47" s="229">
        <f t="shared" ca="1" si="0"/>
        <v>125</v>
      </c>
      <c r="J47" s="229">
        <f t="shared" ca="1" si="1"/>
        <v>1526</v>
      </c>
      <c r="K47" s="41"/>
      <c r="L47" s="41"/>
      <c r="M47" s="41"/>
      <c r="N47" s="41"/>
      <c r="O47" s="41"/>
      <c r="P47" s="41"/>
      <c r="Q47" s="43"/>
      <c r="R47" s="43"/>
      <c r="S47" s="43"/>
      <c r="T47" s="43"/>
      <c r="U47" s="43"/>
      <c r="V47" s="43"/>
      <c r="W47" s="43"/>
      <c r="X47" s="43"/>
    </row>
    <row r="48" spans="1:24" x14ac:dyDescent="0.3">
      <c r="A48" s="231"/>
      <c r="B48" s="231"/>
      <c r="C48" s="231"/>
      <c r="D48" s="231"/>
      <c r="E48" s="312"/>
      <c r="F48" s="231"/>
      <c r="G48" s="231"/>
      <c r="H48" s="231"/>
      <c r="I48" s="229">
        <f t="shared" ca="1" si="0"/>
        <v>125</v>
      </c>
      <c r="J48" s="229">
        <f t="shared" ca="1" si="1"/>
        <v>1526</v>
      </c>
      <c r="K48" s="41"/>
      <c r="L48" s="41"/>
      <c r="M48" s="41"/>
      <c r="N48" s="41"/>
      <c r="O48" s="41"/>
      <c r="P48" s="41"/>
      <c r="Q48" s="43"/>
      <c r="R48" s="43"/>
      <c r="S48" s="43"/>
      <c r="T48" s="43"/>
      <c r="U48" s="43"/>
      <c r="V48" s="43"/>
      <c r="W48" s="43"/>
      <c r="X48" s="43"/>
    </row>
    <row r="49" spans="1:24" x14ac:dyDescent="0.3">
      <c r="A49" s="231"/>
      <c r="B49" s="231"/>
      <c r="C49" s="231"/>
      <c r="D49" s="231"/>
      <c r="E49" s="312"/>
      <c r="F49" s="231"/>
      <c r="G49" s="231"/>
      <c r="H49" s="231"/>
      <c r="I49" s="229">
        <f t="shared" ca="1" si="0"/>
        <v>125</v>
      </c>
      <c r="J49" s="229">
        <f t="shared" ca="1" si="1"/>
        <v>1526</v>
      </c>
      <c r="K49" s="41"/>
      <c r="L49" s="41"/>
      <c r="M49" s="41"/>
      <c r="N49" s="41"/>
      <c r="O49" s="41"/>
      <c r="P49" s="41"/>
      <c r="Q49" s="43"/>
      <c r="R49" s="43"/>
      <c r="S49" s="43"/>
      <c r="T49" s="43"/>
      <c r="U49" s="43"/>
      <c r="V49" s="43"/>
      <c r="W49" s="43"/>
      <c r="X49" s="43"/>
    </row>
    <row r="50" spans="1:24" x14ac:dyDescent="0.3">
      <c r="A50" s="231"/>
      <c r="B50" s="231"/>
      <c r="C50" s="231"/>
      <c r="D50" s="231"/>
      <c r="E50" s="312"/>
      <c r="F50" s="231"/>
      <c r="G50" s="231"/>
      <c r="H50" s="231"/>
      <c r="I50" s="229">
        <f t="shared" ca="1" si="0"/>
        <v>125</v>
      </c>
      <c r="J50" s="229">
        <f t="shared" ca="1" si="1"/>
        <v>1526</v>
      </c>
      <c r="K50" s="41"/>
      <c r="L50" s="41"/>
      <c r="M50" s="41"/>
      <c r="N50" s="41"/>
      <c r="O50" s="41"/>
      <c r="P50" s="41"/>
      <c r="Q50" s="43"/>
      <c r="R50" s="43"/>
      <c r="S50" s="43"/>
      <c r="T50" s="43"/>
      <c r="U50" s="43"/>
      <c r="V50" s="43"/>
      <c r="W50" s="43"/>
      <c r="X50" s="43"/>
    </row>
    <row r="51" spans="1:24" x14ac:dyDescent="0.3">
      <c r="A51" s="231"/>
      <c r="B51" s="231"/>
      <c r="C51" s="231"/>
      <c r="D51" s="231"/>
      <c r="E51" s="312"/>
      <c r="F51" s="231"/>
      <c r="G51" s="231"/>
      <c r="H51" s="231"/>
      <c r="I51" s="229">
        <f t="shared" ca="1" si="0"/>
        <v>125</v>
      </c>
      <c r="J51" s="229">
        <f t="shared" ca="1" si="1"/>
        <v>1526</v>
      </c>
      <c r="K51" s="41"/>
      <c r="L51" s="41"/>
      <c r="M51" s="41"/>
      <c r="N51" s="41"/>
      <c r="O51" s="41"/>
      <c r="P51" s="41"/>
      <c r="Q51" s="43"/>
      <c r="R51" s="43"/>
      <c r="S51" s="43"/>
      <c r="T51" s="43"/>
      <c r="U51" s="43"/>
      <c r="V51" s="43"/>
      <c r="W51" s="43"/>
      <c r="X51" s="43"/>
    </row>
    <row r="52" spans="1:24" x14ac:dyDescent="0.3">
      <c r="A52" s="231"/>
      <c r="B52" s="231"/>
      <c r="C52" s="231"/>
      <c r="D52" s="231"/>
      <c r="E52" s="312"/>
      <c r="F52" s="231"/>
      <c r="G52" s="231"/>
      <c r="H52" s="231"/>
      <c r="I52" s="229">
        <f t="shared" ca="1" si="0"/>
        <v>125</v>
      </c>
      <c r="J52" s="229">
        <f t="shared" ca="1" si="1"/>
        <v>1526</v>
      </c>
      <c r="K52" s="41"/>
      <c r="L52" s="41"/>
      <c r="M52" s="41"/>
      <c r="N52" s="41"/>
      <c r="O52" s="41"/>
      <c r="P52" s="41"/>
      <c r="Q52" s="43"/>
      <c r="R52" s="43"/>
      <c r="S52" s="43"/>
      <c r="T52" s="43"/>
      <c r="U52" s="43"/>
      <c r="V52" s="43"/>
      <c r="W52" s="43"/>
      <c r="X52" s="43"/>
    </row>
    <row r="53" spans="1:24" x14ac:dyDescent="0.3">
      <c r="A53" s="231"/>
      <c r="B53" s="231"/>
      <c r="C53" s="231"/>
      <c r="D53" s="231"/>
      <c r="E53" s="312"/>
      <c r="F53" s="231"/>
      <c r="G53" s="231"/>
      <c r="H53" s="231"/>
      <c r="I53" s="229">
        <f t="shared" ca="1" si="0"/>
        <v>125</v>
      </c>
      <c r="J53" s="229">
        <f t="shared" ca="1" si="1"/>
        <v>1526</v>
      </c>
      <c r="K53" s="41"/>
      <c r="L53" s="41"/>
      <c r="M53" s="41"/>
      <c r="N53" s="41"/>
      <c r="O53" s="41"/>
      <c r="P53" s="41"/>
      <c r="Q53" s="43"/>
      <c r="R53" s="43"/>
      <c r="S53" s="43"/>
      <c r="T53" s="43"/>
      <c r="U53" s="43"/>
      <c r="V53" s="43"/>
      <c r="W53" s="43"/>
      <c r="X53" s="43"/>
    </row>
    <row r="54" spans="1:24" x14ac:dyDescent="0.3">
      <c r="A54" s="231"/>
      <c r="B54" s="231"/>
      <c r="C54" s="231"/>
      <c r="D54" s="231"/>
      <c r="E54" s="312"/>
      <c r="F54" s="231"/>
      <c r="G54" s="231"/>
      <c r="H54" s="231"/>
      <c r="I54" s="229">
        <f t="shared" ca="1" si="0"/>
        <v>125</v>
      </c>
      <c r="J54" s="229">
        <f t="shared" ca="1" si="1"/>
        <v>1526</v>
      </c>
      <c r="K54" s="41"/>
      <c r="L54" s="41"/>
      <c r="M54" s="41"/>
      <c r="N54" s="41"/>
      <c r="O54" s="41"/>
      <c r="P54" s="41"/>
      <c r="Q54" s="43"/>
      <c r="R54" s="43"/>
      <c r="S54" s="43"/>
      <c r="T54" s="43"/>
      <c r="U54" s="43"/>
      <c r="V54" s="43"/>
      <c r="W54" s="43"/>
      <c r="X54" s="43"/>
    </row>
    <row r="55" spans="1:24" x14ac:dyDescent="0.3">
      <c r="A55" s="231"/>
      <c r="B55" s="231"/>
      <c r="C55" s="231"/>
      <c r="D55" s="231"/>
      <c r="E55" s="312"/>
      <c r="F55" s="231"/>
      <c r="G55" s="231"/>
      <c r="H55" s="231"/>
      <c r="I55" s="229">
        <f t="shared" ca="1" si="0"/>
        <v>125</v>
      </c>
      <c r="J55" s="229">
        <f t="shared" ca="1" si="1"/>
        <v>1526</v>
      </c>
      <c r="K55" s="41"/>
      <c r="L55" s="41"/>
      <c r="M55" s="41"/>
      <c r="N55" s="41"/>
      <c r="O55" s="41"/>
      <c r="P55" s="41"/>
      <c r="Q55" s="43"/>
      <c r="R55" s="43"/>
      <c r="S55" s="43"/>
      <c r="T55" s="43"/>
      <c r="U55" s="43"/>
      <c r="V55" s="43"/>
      <c r="W55" s="43"/>
      <c r="X55" s="43"/>
    </row>
    <row r="56" spans="1:24" x14ac:dyDescent="0.3">
      <c r="A56" s="231"/>
      <c r="B56" s="231"/>
      <c r="C56" s="231"/>
      <c r="D56" s="231"/>
      <c r="E56" s="312"/>
      <c r="F56" s="231"/>
      <c r="G56" s="231"/>
      <c r="H56" s="231"/>
      <c r="I56" s="229">
        <f t="shared" ca="1" si="0"/>
        <v>125</v>
      </c>
      <c r="J56" s="229">
        <f t="shared" ca="1" si="1"/>
        <v>1526</v>
      </c>
      <c r="K56" s="41"/>
      <c r="L56" s="41"/>
      <c r="M56" s="41"/>
      <c r="N56" s="41"/>
      <c r="O56" s="41"/>
      <c r="P56" s="41"/>
      <c r="Q56" s="43"/>
      <c r="R56" s="43"/>
      <c r="S56" s="43"/>
      <c r="T56" s="43"/>
      <c r="U56" s="43"/>
      <c r="V56" s="43"/>
      <c r="W56" s="43"/>
      <c r="X56" s="43"/>
    </row>
    <row r="57" spans="1:24" x14ac:dyDescent="0.3">
      <c r="A57" s="231"/>
      <c r="B57" s="231"/>
      <c r="C57" s="231"/>
      <c r="D57" s="231"/>
      <c r="E57" s="312"/>
      <c r="F57" s="231"/>
      <c r="G57" s="231"/>
      <c r="H57" s="231"/>
      <c r="I57" s="229">
        <f t="shared" ca="1" si="0"/>
        <v>125</v>
      </c>
      <c r="J57" s="229">
        <f t="shared" ca="1" si="1"/>
        <v>1526</v>
      </c>
      <c r="K57" s="41"/>
      <c r="L57" s="41"/>
      <c r="M57" s="41"/>
      <c r="N57" s="41"/>
      <c r="O57" s="41"/>
      <c r="P57" s="41"/>
      <c r="Q57" s="43"/>
      <c r="R57" s="43"/>
      <c r="S57" s="43"/>
      <c r="T57" s="43"/>
      <c r="U57" s="43"/>
      <c r="V57" s="43"/>
      <c r="W57" s="43"/>
      <c r="X57" s="43"/>
    </row>
  </sheetData>
  <mergeCells count="1">
    <mergeCell ref="I1:J1"/>
  </mergeCells>
  <phoneticPr fontId="63" type="noConversion"/>
  <conditionalFormatting sqref="B2:B1048576">
    <cfRule type="duplicateValues" dxfId="143" priority="6"/>
    <cfRule type="duplicateValues" dxfId="142" priority="47832"/>
    <cfRule type="duplicateValues" dxfId="141" priority="47833"/>
    <cfRule type="duplicateValues" dxfId="140" priority="47839"/>
    <cfRule type="duplicateValues" dxfId="139" priority="47840"/>
    <cfRule type="duplicateValues" dxfId="138" priority="47841"/>
    <cfRule type="duplicateValues" dxfId="137" priority="47842"/>
  </conditionalFormatting>
  <conditionalFormatting sqref="E2:E1048576">
    <cfRule type="duplicateValues" dxfId="136" priority="47843"/>
    <cfRule type="duplicateValues" dxfId="135" priority="47844"/>
    <cfRule type="duplicateValues" dxfId="134" priority="47845"/>
  </conditionalFormatting>
  <conditionalFormatting sqref="K9:K1048576 K7 K1:K2">
    <cfRule type="duplicateValues" dxfId="133" priority="3"/>
  </conditionalFormatting>
  <pageMargins left="0.511811024" right="0.511811024" top="0.78740157499999996" bottom="0.78740157499999996" header="0.31496062000000002" footer="0.31496062000000002"/>
  <pageSetup paperSize="9" scale="28" fitToHeight="0"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J49"/>
  <sheetViews>
    <sheetView showGridLines="0" workbookViewId="0">
      <pane ySplit="1" topLeftCell="A2" activePane="bottomLeft" state="frozenSplit"/>
      <selection pane="bottomLeft" activeCell="E24" sqref="E24"/>
    </sheetView>
  </sheetViews>
  <sheetFormatPr defaultRowHeight="13.2" x14ac:dyDescent="0.25"/>
  <cols>
    <col min="1" max="1" width="11" style="1" customWidth="1"/>
    <col min="2" max="2" width="16" style="248" bestFit="1" customWidth="1"/>
    <col min="3" max="3" width="6.109375" style="248" customWidth="1"/>
    <col min="4" max="4" width="12.33203125" style="248" customWidth="1"/>
    <col min="5" max="5" width="38.6640625" style="248" customWidth="1"/>
    <col min="6" max="6" width="17.33203125" style="248" customWidth="1"/>
    <col min="7" max="7" width="12.88671875" style="248" customWidth="1"/>
    <col min="8" max="8" width="12.5546875" style="248" customWidth="1"/>
    <col min="9" max="9" width="17.6640625" style="248" customWidth="1"/>
    <col min="10" max="10" width="8.33203125" style="248" customWidth="1"/>
    <col min="11" max="11" width="20" style="1" customWidth="1"/>
    <col min="12" max="12" width="24.44140625" style="248" customWidth="1"/>
    <col min="13" max="13" width="29.44140625" style="248" customWidth="1"/>
    <col min="14" max="14" width="5.88671875" style="248" customWidth="1"/>
    <col min="15" max="15" width="6.88671875" style="248" customWidth="1"/>
    <col min="16" max="16" width="6" style="248" customWidth="1"/>
    <col min="17" max="17" width="5.6640625" style="248" customWidth="1"/>
    <col min="18" max="23" width="5.5546875" style="248" customWidth="1"/>
    <col min="24" max="24" width="6.109375" style="248" customWidth="1"/>
    <col min="25" max="25" width="5.5546875" style="248" customWidth="1"/>
    <col min="26" max="26" width="7.6640625" style="248" customWidth="1"/>
    <col min="27" max="27" width="7" style="248" customWidth="1"/>
    <col min="28" max="28" width="88.88671875" style="252" customWidth="1"/>
    <col min="29" max="30" width="9.109375" style="1"/>
    <col min="31" max="31" width="6.6640625" style="1" customWidth="1"/>
    <col min="32" max="32" width="5.6640625" style="1" hidden="1" customWidth="1"/>
    <col min="33" max="36" width="9.109375" style="1" hidden="1" customWidth="1"/>
    <col min="37" max="258" width="9.109375" style="1"/>
    <col min="259" max="259" width="5.109375" style="1" customWidth="1"/>
    <col min="260" max="260" width="6.109375" style="1" customWidth="1"/>
    <col min="261" max="261" width="9.88671875" style="1" customWidth="1"/>
    <col min="262" max="262" width="13.109375" style="1" customWidth="1"/>
    <col min="263" max="263" width="9.6640625" style="1" customWidth="1"/>
    <col min="264" max="264" width="6.88671875" style="1" customWidth="1"/>
    <col min="265" max="265" width="10" style="1" customWidth="1"/>
    <col min="266" max="266" width="14.109375" style="1" customWidth="1"/>
    <col min="267" max="267" width="6.109375" style="1" customWidth="1"/>
    <col min="268" max="268" width="13.5546875" style="1" customWidth="1"/>
    <col min="269" max="269" width="9.88671875" style="1" customWidth="1"/>
    <col min="270" max="270" width="12.5546875" style="1" customWidth="1"/>
    <col min="271" max="271" width="5.88671875" style="1" customWidth="1"/>
    <col min="272" max="272" width="6.88671875" style="1" customWidth="1"/>
    <col min="273" max="273" width="6" style="1" customWidth="1"/>
    <col min="274" max="274" width="5.6640625" style="1" customWidth="1"/>
    <col min="275" max="275" width="4.109375" style="1" customWidth="1"/>
    <col min="276" max="277" width="3.33203125" style="1" customWidth="1"/>
    <col min="278" max="278" width="5.44140625" style="1" customWidth="1"/>
    <col min="279" max="280" width="3.33203125" style="1" customWidth="1"/>
    <col min="281" max="281" width="6.109375" style="1" customWidth="1"/>
    <col min="282" max="282" width="4" style="1" customWidth="1"/>
    <col min="283" max="283" width="7.6640625" style="1" customWidth="1"/>
    <col min="284" max="284" width="7" style="1" customWidth="1"/>
    <col min="285" max="514" width="9.109375" style="1"/>
    <col min="515" max="515" width="5.109375" style="1" customWidth="1"/>
    <col min="516" max="516" width="6.109375" style="1" customWidth="1"/>
    <col min="517" max="517" width="9.88671875" style="1" customWidth="1"/>
    <col min="518" max="518" width="13.109375" style="1" customWidth="1"/>
    <col min="519" max="519" width="9.6640625" style="1" customWidth="1"/>
    <col min="520" max="520" width="6.88671875" style="1" customWidth="1"/>
    <col min="521" max="521" width="10" style="1" customWidth="1"/>
    <col min="522" max="522" width="14.109375" style="1" customWidth="1"/>
    <col min="523" max="523" width="6.109375" style="1" customWidth="1"/>
    <col min="524" max="524" width="13.5546875" style="1" customWidth="1"/>
    <col min="525" max="525" width="9.88671875" style="1" customWidth="1"/>
    <col min="526" max="526" width="12.5546875" style="1" customWidth="1"/>
    <col min="527" max="527" width="5.88671875" style="1" customWidth="1"/>
    <col min="528" max="528" width="6.88671875" style="1" customWidth="1"/>
    <col min="529" max="529" width="6" style="1" customWidth="1"/>
    <col min="530" max="530" width="5.6640625" style="1" customWidth="1"/>
    <col min="531" max="531" width="4.109375" style="1" customWidth="1"/>
    <col min="532" max="533" width="3.33203125" style="1" customWidth="1"/>
    <col min="534" max="534" width="5.44140625" style="1" customWidth="1"/>
    <col min="535" max="536" width="3.33203125" style="1" customWidth="1"/>
    <col min="537" max="537" width="6.109375" style="1" customWidth="1"/>
    <col min="538" max="538" width="4" style="1" customWidth="1"/>
    <col min="539" max="539" width="7.6640625" style="1" customWidth="1"/>
    <col min="540" max="540" width="7" style="1" customWidth="1"/>
    <col min="541" max="770" width="9.109375" style="1"/>
    <col min="771" max="771" width="5.109375" style="1" customWidth="1"/>
    <col min="772" max="772" width="6.109375" style="1" customWidth="1"/>
    <col min="773" max="773" width="9.88671875" style="1" customWidth="1"/>
    <col min="774" max="774" width="13.109375" style="1" customWidth="1"/>
    <col min="775" max="775" width="9.6640625" style="1" customWidth="1"/>
    <col min="776" max="776" width="6.88671875" style="1" customWidth="1"/>
    <col min="777" max="777" width="10" style="1" customWidth="1"/>
    <col min="778" max="778" width="14.109375" style="1" customWidth="1"/>
    <col min="779" max="779" width="6.109375" style="1" customWidth="1"/>
    <col min="780" max="780" width="13.5546875" style="1" customWidth="1"/>
    <col min="781" max="781" width="9.88671875" style="1" customWidth="1"/>
    <col min="782" max="782" width="12.5546875" style="1" customWidth="1"/>
    <col min="783" max="783" width="5.88671875" style="1" customWidth="1"/>
    <col min="784" max="784" width="6.88671875" style="1" customWidth="1"/>
    <col min="785" max="785" width="6" style="1" customWidth="1"/>
    <col min="786" max="786" width="5.6640625" style="1" customWidth="1"/>
    <col min="787" max="787" width="4.109375" style="1" customWidth="1"/>
    <col min="788" max="789" width="3.33203125" style="1" customWidth="1"/>
    <col min="790" max="790" width="5.44140625" style="1" customWidth="1"/>
    <col min="791" max="792" width="3.33203125" style="1" customWidth="1"/>
    <col min="793" max="793" width="6.109375" style="1" customWidth="1"/>
    <col min="794" max="794" width="4" style="1" customWidth="1"/>
    <col min="795" max="795" width="7.6640625" style="1" customWidth="1"/>
    <col min="796" max="796" width="7" style="1" customWidth="1"/>
    <col min="797" max="1026" width="9.109375" style="1"/>
    <col min="1027" max="1027" width="5.109375" style="1" customWidth="1"/>
    <col min="1028" max="1028" width="6.109375" style="1" customWidth="1"/>
    <col min="1029" max="1029" width="9.88671875" style="1" customWidth="1"/>
    <col min="1030" max="1030" width="13.109375" style="1" customWidth="1"/>
    <col min="1031" max="1031" width="9.6640625" style="1" customWidth="1"/>
    <col min="1032" max="1032" width="6.88671875" style="1" customWidth="1"/>
    <col min="1033" max="1033" width="10" style="1" customWidth="1"/>
    <col min="1034" max="1034" width="14.109375" style="1" customWidth="1"/>
    <col min="1035" max="1035" width="6.109375" style="1" customWidth="1"/>
    <col min="1036" max="1036" width="13.5546875" style="1" customWidth="1"/>
    <col min="1037" max="1037" width="9.88671875" style="1" customWidth="1"/>
    <col min="1038" max="1038" width="12.5546875" style="1" customWidth="1"/>
    <col min="1039" max="1039" width="5.88671875" style="1" customWidth="1"/>
    <col min="1040" max="1040" width="6.88671875" style="1" customWidth="1"/>
    <col min="1041" max="1041" width="6" style="1" customWidth="1"/>
    <col min="1042" max="1042" width="5.6640625" style="1" customWidth="1"/>
    <col min="1043" max="1043" width="4.109375" style="1" customWidth="1"/>
    <col min="1044" max="1045" width="3.33203125" style="1" customWidth="1"/>
    <col min="1046" max="1046" width="5.44140625" style="1" customWidth="1"/>
    <col min="1047" max="1048" width="3.33203125" style="1" customWidth="1"/>
    <col min="1049" max="1049" width="6.109375" style="1" customWidth="1"/>
    <col min="1050" max="1050" width="4" style="1" customWidth="1"/>
    <col min="1051" max="1051" width="7.6640625" style="1" customWidth="1"/>
    <col min="1052" max="1052" width="7" style="1" customWidth="1"/>
    <col min="1053" max="1282" width="9.109375" style="1"/>
    <col min="1283" max="1283" width="5.109375" style="1" customWidth="1"/>
    <col min="1284" max="1284" width="6.109375" style="1" customWidth="1"/>
    <col min="1285" max="1285" width="9.88671875" style="1" customWidth="1"/>
    <col min="1286" max="1286" width="13.109375" style="1" customWidth="1"/>
    <col min="1287" max="1287" width="9.6640625" style="1" customWidth="1"/>
    <col min="1288" max="1288" width="6.88671875" style="1" customWidth="1"/>
    <col min="1289" max="1289" width="10" style="1" customWidth="1"/>
    <col min="1290" max="1290" width="14.109375" style="1" customWidth="1"/>
    <col min="1291" max="1291" width="6.109375" style="1" customWidth="1"/>
    <col min="1292" max="1292" width="13.5546875" style="1" customWidth="1"/>
    <col min="1293" max="1293" width="9.88671875" style="1" customWidth="1"/>
    <col min="1294" max="1294" width="12.5546875" style="1" customWidth="1"/>
    <col min="1295" max="1295" width="5.88671875" style="1" customWidth="1"/>
    <col min="1296" max="1296" width="6.88671875" style="1" customWidth="1"/>
    <col min="1297" max="1297" width="6" style="1" customWidth="1"/>
    <col min="1298" max="1298" width="5.6640625" style="1" customWidth="1"/>
    <col min="1299" max="1299" width="4.109375" style="1" customWidth="1"/>
    <col min="1300" max="1301" width="3.33203125" style="1" customWidth="1"/>
    <col min="1302" max="1302" width="5.44140625" style="1" customWidth="1"/>
    <col min="1303" max="1304" width="3.33203125" style="1" customWidth="1"/>
    <col min="1305" max="1305" width="6.109375" style="1" customWidth="1"/>
    <col min="1306" max="1306" width="4" style="1" customWidth="1"/>
    <col min="1307" max="1307" width="7.6640625" style="1" customWidth="1"/>
    <col min="1308" max="1308" width="7" style="1" customWidth="1"/>
    <col min="1309" max="1538" width="9.109375" style="1"/>
    <col min="1539" max="1539" width="5.109375" style="1" customWidth="1"/>
    <col min="1540" max="1540" width="6.109375" style="1" customWidth="1"/>
    <col min="1541" max="1541" width="9.88671875" style="1" customWidth="1"/>
    <col min="1542" max="1542" width="13.109375" style="1" customWidth="1"/>
    <col min="1543" max="1543" width="9.6640625" style="1" customWidth="1"/>
    <col min="1544" max="1544" width="6.88671875" style="1" customWidth="1"/>
    <col min="1545" max="1545" width="10" style="1" customWidth="1"/>
    <col min="1546" max="1546" width="14.109375" style="1" customWidth="1"/>
    <col min="1547" max="1547" width="6.109375" style="1" customWidth="1"/>
    <col min="1548" max="1548" width="13.5546875" style="1" customWidth="1"/>
    <col min="1549" max="1549" width="9.88671875" style="1" customWidth="1"/>
    <col min="1550" max="1550" width="12.5546875" style="1" customWidth="1"/>
    <col min="1551" max="1551" width="5.88671875" style="1" customWidth="1"/>
    <col min="1552" max="1552" width="6.88671875" style="1" customWidth="1"/>
    <col min="1553" max="1553" width="6" style="1" customWidth="1"/>
    <col min="1554" max="1554" width="5.6640625" style="1" customWidth="1"/>
    <col min="1555" max="1555" width="4.109375" style="1" customWidth="1"/>
    <col min="1556" max="1557" width="3.33203125" style="1" customWidth="1"/>
    <col min="1558" max="1558" width="5.44140625" style="1" customWidth="1"/>
    <col min="1559" max="1560" width="3.33203125" style="1" customWidth="1"/>
    <col min="1561" max="1561" width="6.109375" style="1" customWidth="1"/>
    <col min="1562" max="1562" width="4" style="1" customWidth="1"/>
    <col min="1563" max="1563" width="7.6640625" style="1" customWidth="1"/>
    <col min="1564" max="1564" width="7" style="1" customWidth="1"/>
    <col min="1565" max="1794" width="9.109375" style="1"/>
    <col min="1795" max="1795" width="5.109375" style="1" customWidth="1"/>
    <col min="1796" max="1796" width="6.109375" style="1" customWidth="1"/>
    <col min="1797" max="1797" width="9.88671875" style="1" customWidth="1"/>
    <col min="1798" max="1798" width="13.109375" style="1" customWidth="1"/>
    <col min="1799" max="1799" width="9.6640625" style="1" customWidth="1"/>
    <col min="1800" max="1800" width="6.88671875" style="1" customWidth="1"/>
    <col min="1801" max="1801" width="10" style="1" customWidth="1"/>
    <col min="1802" max="1802" width="14.109375" style="1" customWidth="1"/>
    <col min="1803" max="1803" width="6.109375" style="1" customWidth="1"/>
    <col min="1804" max="1804" width="13.5546875" style="1" customWidth="1"/>
    <col min="1805" max="1805" width="9.88671875" style="1" customWidth="1"/>
    <col min="1806" max="1806" width="12.5546875" style="1" customWidth="1"/>
    <col min="1807" max="1807" width="5.88671875" style="1" customWidth="1"/>
    <col min="1808" max="1808" width="6.88671875" style="1" customWidth="1"/>
    <col min="1809" max="1809" width="6" style="1" customWidth="1"/>
    <col min="1810" max="1810" width="5.6640625" style="1" customWidth="1"/>
    <col min="1811" max="1811" width="4.109375" style="1" customWidth="1"/>
    <col min="1812" max="1813" width="3.33203125" style="1" customWidth="1"/>
    <col min="1814" max="1814" width="5.44140625" style="1" customWidth="1"/>
    <col min="1815" max="1816" width="3.33203125" style="1" customWidth="1"/>
    <col min="1817" max="1817" width="6.109375" style="1" customWidth="1"/>
    <col min="1818" max="1818" width="4" style="1" customWidth="1"/>
    <col min="1819" max="1819" width="7.6640625" style="1" customWidth="1"/>
    <col min="1820" max="1820" width="7" style="1" customWidth="1"/>
    <col min="1821" max="2050" width="9.109375" style="1"/>
    <col min="2051" max="2051" width="5.109375" style="1" customWidth="1"/>
    <col min="2052" max="2052" width="6.109375" style="1" customWidth="1"/>
    <col min="2053" max="2053" width="9.88671875" style="1" customWidth="1"/>
    <col min="2054" max="2054" width="13.109375" style="1" customWidth="1"/>
    <col min="2055" max="2055" width="9.6640625" style="1" customWidth="1"/>
    <col min="2056" max="2056" width="6.88671875" style="1" customWidth="1"/>
    <col min="2057" max="2057" width="10" style="1" customWidth="1"/>
    <col min="2058" max="2058" width="14.109375" style="1" customWidth="1"/>
    <col min="2059" max="2059" width="6.109375" style="1" customWidth="1"/>
    <col min="2060" max="2060" width="13.5546875" style="1" customWidth="1"/>
    <col min="2061" max="2061" width="9.88671875" style="1" customWidth="1"/>
    <col min="2062" max="2062" width="12.5546875" style="1" customWidth="1"/>
    <col min="2063" max="2063" width="5.88671875" style="1" customWidth="1"/>
    <col min="2064" max="2064" width="6.88671875" style="1" customWidth="1"/>
    <col min="2065" max="2065" width="6" style="1" customWidth="1"/>
    <col min="2066" max="2066" width="5.6640625" style="1" customWidth="1"/>
    <col min="2067" max="2067" width="4.109375" style="1" customWidth="1"/>
    <col min="2068" max="2069" width="3.33203125" style="1" customWidth="1"/>
    <col min="2070" max="2070" width="5.44140625" style="1" customWidth="1"/>
    <col min="2071" max="2072" width="3.33203125" style="1" customWidth="1"/>
    <col min="2073" max="2073" width="6.109375" style="1" customWidth="1"/>
    <col min="2074" max="2074" width="4" style="1" customWidth="1"/>
    <col min="2075" max="2075" width="7.6640625" style="1" customWidth="1"/>
    <col min="2076" max="2076" width="7" style="1" customWidth="1"/>
    <col min="2077" max="2306" width="9.109375" style="1"/>
    <col min="2307" max="2307" width="5.109375" style="1" customWidth="1"/>
    <col min="2308" max="2308" width="6.109375" style="1" customWidth="1"/>
    <col min="2309" max="2309" width="9.88671875" style="1" customWidth="1"/>
    <col min="2310" max="2310" width="13.109375" style="1" customWidth="1"/>
    <col min="2311" max="2311" width="9.6640625" style="1" customWidth="1"/>
    <col min="2312" max="2312" width="6.88671875" style="1" customWidth="1"/>
    <col min="2313" max="2313" width="10" style="1" customWidth="1"/>
    <col min="2314" max="2314" width="14.109375" style="1" customWidth="1"/>
    <col min="2315" max="2315" width="6.109375" style="1" customWidth="1"/>
    <col min="2316" max="2316" width="13.5546875" style="1" customWidth="1"/>
    <col min="2317" max="2317" width="9.88671875" style="1" customWidth="1"/>
    <col min="2318" max="2318" width="12.5546875" style="1" customWidth="1"/>
    <col min="2319" max="2319" width="5.88671875" style="1" customWidth="1"/>
    <col min="2320" max="2320" width="6.88671875" style="1" customWidth="1"/>
    <col min="2321" max="2321" width="6" style="1" customWidth="1"/>
    <col min="2322" max="2322" width="5.6640625" style="1" customWidth="1"/>
    <col min="2323" max="2323" width="4.109375" style="1" customWidth="1"/>
    <col min="2324" max="2325" width="3.33203125" style="1" customWidth="1"/>
    <col min="2326" max="2326" width="5.44140625" style="1" customWidth="1"/>
    <col min="2327" max="2328" width="3.33203125" style="1" customWidth="1"/>
    <col min="2329" max="2329" width="6.109375" style="1" customWidth="1"/>
    <col min="2330" max="2330" width="4" style="1" customWidth="1"/>
    <col min="2331" max="2331" width="7.6640625" style="1" customWidth="1"/>
    <col min="2332" max="2332" width="7" style="1" customWidth="1"/>
    <col min="2333" max="2562" width="9.109375" style="1"/>
    <col min="2563" max="2563" width="5.109375" style="1" customWidth="1"/>
    <col min="2564" max="2564" width="6.109375" style="1" customWidth="1"/>
    <col min="2565" max="2565" width="9.88671875" style="1" customWidth="1"/>
    <col min="2566" max="2566" width="13.109375" style="1" customWidth="1"/>
    <col min="2567" max="2567" width="9.6640625" style="1" customWidth="1"/>
    <col min="2568" max="2568" width="6.88671875" style="1" customWidth="1"/>
    <col min="2569" max="2569" width="10" style="1" customWidth="1"/>
    <col min="2570" max="2570" width="14.109375" style="1" customWidth="1"/>
    <col min="2571" max="2571" width="6.109375" style="1" customWidth="1"/>
    <col min="2572" max="2572" width="13.5546875" style="1" customWidth="1"/>
    <col min="2573" max="2573" width="9.88671875" style="1" customWidth="1"/>
    <col min="2574" max="2574" width="12.5546875" style="1" customWidth="1"/>
    <col min="2575" max="2575" width="5.88671875" style="1" customWidth="1"/>
    <col min="2576" max="2576" width="6.88671875" style="1" customWidth="1"/>
    <col min="2577" max="2577" width="6" style="1" customWidth="1"/>
    <col min="2578" max="2578" width="5.6640625" style="1" customWidth="1"/>
    <col min="2579" max="2579" width="4.109375" style="1" customWidth="1"/>
    <col min="2580" max="2581" width="3.33203125" style="1" customWidth="1"/>
    <col min="2582" max="2582" width="5.44140625" style="1" customWidth="1"/>
    <col min="2583" max="2584" width="3.33203125" style="1" customWidth="1"/>
    <col min="2585" max="2585" width="6.109375" style="1" customWidth="1"/>
    <col min="2586" max="2586" width="4" style="1" customWidth="1"/>
    <col min="2587" max="2587" width="7.6640625" style="1" customWidth="1"/>
    <col min="2588" max="2588" width="7" style="1" customWidth="1"/>
    <col min="2589" max="2818" width="9.109375" style="1"/>
    <col min="2819" max="2819" width="5.109375" style="1" customWidth="1"/>
    <col min="2820" max="2820" width="6.109375" style="1" customWidth="1"/>
    <col min="2821" max="2821" width="9.88671875" style="1" customWidth="1"/>
    <col min="2822" max="2822" width="13.109375" style="1" customWidth="1"/>
    <col min="2823" max="2823" width="9.6640625" style="1" customWidth="1"/>
    <col min="2824" max="2824" width="6.88671875" style="1" customWidth="1"/>
    <col min="2825" max="2825" width="10" style="1" customWidth="1"/>
    <col min="2826" max="2826" width="14.109375" style="1" customWidth="1"/>
    <col min="2827" max="2827" width="6.109375" style="1" customWidth="1"/>
    <col min="2828" max="2828" width="13.5546875" style="1" customWidth="1"/>
    <col min="2829" max="2829" width="9.88671875" style="1" customWidth="1"/>
    <col min="2830" max="2830" width="12.5546875" style="1" customWidth="1"/>
    <col min="2831" max="2831" width="5.88671875" style="1" customWidth="1"/>
    <col min="2832" max="2832" width="6.88671875" style="1" customWidth="1"/>
    <col min="2833" max="2833" width="6" style="1" customWidth="1"/>
    <col min="2834" max="2834" width="5.6640625" style="1" customWidth="1"/>
    <col min="2835" max="2835" width="4.109375" style="1" customWidth="1"/>
    <col min="2836" max="2837" width="3.33203125" style="1" customWidth="1"/>
    <col min="2838" max="2838" width="5.44140625" style="1" customWidth="1"/>
    <col min="2839" max="2840" width="3.33203125" style="1" customWidth="1"/>
    <col min="2841" max="2841" width="6.109375" style="1" customWidth="1"/>
    <col min="2842" max="2842" width="4" style="1" customWidth="1"/>
    <col min="2843" max="2843" width="7.6640625" style="1" customWidth="1"/>
    <col min="2844" max="2844" width="7" style="1" customWidth="1"/>
    <col min="2845" max="3074" width="9.109375" style="1"/>
    <col min="3075" max="3075" width="5.109375" style="1" customWidth="1"/>
    <col min="3076" max="3076" width="6.109375" style="1" customWidth="1"/>
    <col min="3077" max="3077" width="9.88671875" style="1" customWidth="1"/>
    <col min="3078" max="3078" width="13.109375" style="1" customWidth="1"/>
    <col min="3079" max="3079" width="9.6640625" style="1" customWidth="1"/>
    <col min="3080" max="3080" width="6.88671875" style="1" customWidth="1"/>
    <col min="3081" max="3081" width="10" style="1" customWidth="1"/>
    <col min="3082" max="3082" width="14.109375" style="1" customWidth="1"/>
    <col min="3083" max="3083" width="6.109375" style="1" customWidth="1"/>
    <col min="3084" max="3084" width="13.5546875" style="1" customWidth="1"/>
    <col min="3085" max="3085" width="9.88671875" style="1" customWidth="1"/>
    <col min="3086" max="3086" width="12.5546875" style="1" customWidth="1"/>
    <col min="3087" max="3087" width="5.88671875" style="1" customWidth="1"/>
    <col min="3088" max="3088" width="6.88671875" style="1" customWidth="1"/>
    <col min="3089" max="3089" width="6" style="1" customWidth="1"/>
    <col min="3090" max="3090" width="5.6640625" style="1" customWidth="1"/>
    <col min="3091" max="3091" width="4.109375" style="1" customWidth="1"/>
    <col min="3092" max="3093" width="3.33203125" style="1" customWidth="1"/>
    <col min="3094" max="3094" width="5.44140625" style="1" customWidth="1"/>
    <col min="3095" max="3096" width="3.33203125" style="1" customWidth="1"/>
    <col min="3097" max="3097" width="6.109375" style="1" customWidth="1"/>
    <col min="3098" max="3098" width="4" style="1" customWidth="1"/>
    <col min="3099" max="3099" width="7.6640625" style="1" customWidth="1"/>
    <col min="3100" max="3100" width="7" style="1" customWidth="1"/>
    <col min="3101" max="3330" width="9.109375" style="1"/>
    <col min="3331" max="3331" width="5.109375" style="1" customWidth="1"/>
    <col min="3332" max="3332" width="6.109375" style="1" customWidth="1"/>
    <col min="3333" max="3333" width="9.88671875" style="1" customWidth="1"/>
    <col min="3334" max="3334" width="13.109375" style="1" customWidth="1"/>
    <col min="3335" max="3335" width="9.6640625" style="1" customWidth="1"/>
    <col min="3336" max="3336" width="6.88671875" style="1" customWidth="1"/>
    <col min="3337" max="3337" width="10" style="1" customWidth="1"/>
    <col min="3338" max="3338" width="14.109375" style="1" customWidth="1"/>
    <col min="3339" max="3339" width="6.109375" style="1" customWidth="1"/>
    <col min="3340" max="3340" width="13.5546875" style="1" customWidth="1"/>
    <col min="3341" max="3341" width="9.88671875" style="1" customWidth="1"/>
    <col min="3342" max="3342" width="12.5546875" style="1" customWidth="1"/>
    <col min="3343" max="3343" width="5.88671875" style="1" customWidth="1"/>
    <col min="3344" max="3344" width="6.88671875" style="1" customWidth="1"/>
    <col min="3345" max="3345" width="6" style="1" customWidth="1"/>
    <col min="3346" max="3346" width="5.6640625" style="1" customWidth="1"/>
    <col min="3347" max="3347" width="4.109375" style="1" customWidth="1"/>
    <col min="3348" max="3349" width="3.33203125" style="1" customWidth="1"/>
    <col min="3350" max="3350" width="5.44140625" style="1" customWidth="1"/>
    <col min="3351" max="3352" width="3.33203125" style="1" customWidth="1"/>
    <col min="3353" max="3353" width="6.109375" style="1" customWidth="1"/>
    <col min="3354" max="3354" width="4" style="1" customWidth="1"/>
    <col min="3355" max="3355" width="7.6640625" style="1" customWidth="1"/>
    <col min="3356" max="3356" width="7" style="1" customWidth="1"/>
    <col min="3357" max="3586" width="9.109375" style="1"/>
    <col min="3587" max="3587" width="5.109375" style="1" customWidth="1"/>
    <col min="3588" max="3588" width="6.109375" style="1" customWidth="1"/>
    <col min="3589" max="3589" width="9.88671875" style="1" customWidth="1"/>
    <col min="3590" max="3590" width="13.109375" style="1" customWidth="1"/>
    <col min="3591" max="3591" width="9.6640625" style="1" customWidth="1"/>
    <col min="3592" max="3592" width="6.88671875" style="1" customWidth="1"/>
    <col min="3593" max="3593" width="10" style="1" customWidth="1"/>
    <col min="3594" max="3594" width="14.109375" style="1" customWidth="1"/>
    <col min="3595" max="3595" width="6.109375" style="1" customWidth="1"/>
    <col min="3596" max="3596" width="13.5546875" style="1" customWidth="1"/>
    <col min="3597" max="3597" width="9.88671875" style="1" customWidth="1"/>
    <col min="3598" max="3598" width="12.5546875" style="1" customWidth="1"/>
    <col min="3599" max="3599" width="5.88671875" style="1" customWidth="1"/>
    <col min="3600" max="3600" width="6.88671875" style="1" customWidth="1"/>
    <col min="3601" max="3601" width="6" style="1" customWidth="1"/>
    <col min="3602" max="3602" width="5.6640625" style="1" customWidth="1"/>
    <col min="3603" max="3603" width="4.109375" style="1" customWidth="1"/>
    <col min="3604" max="3605" width="3.33203125" style="1" customWidth="1"/>
    <col min="3606" max="3606" width="5.44140625" style="1" customWidth="1"/>
    <col min="3607" max="3608" width="3.33203125" style="1" customWidth="1"/>
    <col min="3609" max="3609" width="6.109375" style="1" customWidth="1"/>
    <col min="3610" max="3610" width="4" style="1" customWidth="1"/>
    <col min="3611" max="3611" width="7.6640625" style="1" customWidth="1"/>
    <col min="3612" max="3612" width="7" style="1" customWidth="1"/>
    <col min="3613" max="3842" width="9.109375" style="1"/>
    <col min="3843" max="3843" width="5.109375" style="1" customWidth="1"/>
    <col min="3844" max="3844" width="6.109375" style="1" customWidth="1"/>
    <col min="3845" max="3845" width="9.88671875" style="1" customWidth="1"/>
    <col min="3846" max="3846" width="13.109375" style="1" customWidth="1"/>
    <col min="3847" max="3847" width="9.6640625" style="1" customWidth="1"/>
    <col min="3848" max="3848" width="6.88671875" style="1" customWidth="1"/>
    <col min="3849" max="3849" width="10" style="1" customWidth="1"/>
    <col min="3850" max="3850" width="14.109375" style="1" customWidth="1"/>
    <col min="3851" max="3851" width="6.109375" style="1" customWidth="1"/>
    <col min="3852" max="3852" width="13.5546875" style="1" customWidth="1"/>
    <col min="3853" max="3853" width="9.88671875" style="1" customWidth="1"/>
    <col min="3854" max="3854" width="12.5546875" style="1" customWidth="1"/>
    <col min="3855" max="3855" width="5.88671875" style="1" customWidth="1"/>
    <col min="3856" max="3856" width="6.88671875" style="1" customWidth="1"/>
    <col min="3857" max="3857" width="6" style="1" customWidth="1"/>
    <col min="3858" max="3858" width="5.6640625" style="1" customWidth="1"/>
    <col min="3859" max="3859" width="4.109375" style="1" customWidth="1"/>
    <col min="3860" max="3861" width="3.33203125" style="1" customWidth="1"/>
    <col min="3862" max="3862" width="5.44140625" style="1" customWidth="1"/>
    <col min="3863" max="3864" width="3.33203125" style="1" customWidth="1"/>
    <col min="3865" max="3865" width="6.109375" style="1" customWidth="1"/>
    <col min="3866" max="3866" width="4" style="1" customWidth="1"/>
    <col min="3867" max="3867" width="7.6640625" style="1" customWidth="1"/>
    <col min="3868" max="3868" width="7" style="1" customWidth="1"/>
    <col min="3869" max="4098" width="9.109375" style="1"/>
    <col min="4099" max="4099" width="5.109375" style="1" customWidth="1"/>
    <col min="4100" max="4100" width="6.109375" style="1" customWidth="1"/>
    <col min="4101" max="4101" width="9.88671875" style="1" customWidth="1"/>
    <col min="4102" max="4102" width="13.109375" style="1" customWidth="1"/>
    <col min="4103" max="4103" width="9.6640625" style="1" customWidth="1"/>
    <col min="4104" max="4104" width="6.88671875" style="1" customWidth="1"/>
    <col min="4105" max="4105" width="10" style="1" customWidth="1"/>
    <col min="4106" max="4106" width="14.109375" style="1" customWidth="1"/>
    <col min="4107" max="4107" width="6.109375" style="1" customWidth="1"/>
    <col min="4108" max="4108" width="13.5546875" style="1" customWidth="1"/>
    <col min="4109" max="4109" width="9.88671875" style="1" customWidth="1"/>
    <col min="4110" max="4110" width="12.5546875" style="1" customWidth="1"/>
    <col min="4111" max="4111" width="5.88671875" style="1" customWidth="1"/>
    <col min="4112" max="4112" width="6.88671875" style="1" customWidth="1"/>
    <col min="4113" max="4113" width="6" style="1" customWidth="1"/>
    <col min="4114" max="4114" width="5.6640625" style="1" customWidth="1"/>
    <col min="4115" max="4115" width="4.109375" style="1" customWidth="1"/>
    <col min="4116" max="4117" width="3.33203125" style="1" customWidth="1"/>
    <col min="4118" max="4118" width="5.44140625" style="1" customWidth="1"/>
    <col min="4119" max="4120" width="3.33203125" style="1" customWidth="1"/>
    <col min="4121" max="4121" width="6.109375" style="1" customWidth="1"/>
    <col min="4122" max="4122" width="4" style="1" customWidth="1"/>
    <col min="4123" max="4123" width="7.6640625" style="1" customWidth="1"/>
    <col min="4124" max="4124" width="7" style="1" customWidth="1"/>
    <col min="4125" max="4354" width="9.109375" style="1"/>
    <col min="4355" max="4355" width="5.109375" style="1" customWidth="1"/>
    <col min="4356" max="4356" width="6.109375" style="1" customWidth="1"/>
    <col min="4357" max="4357" width="9.88671875" style="1" customWidth="1"/>
    <col min="4358" max="4358" width="13.109375" style="1" customWidth="1"/>
    <col min="4359" max="4359" width="9.6640625" style="1" customWidth="1"/>
    <col min="4360" max="4360" width="6.88671875" style="1" customWidth="1"/>
    <col min="4361" max="4361" width="10" style="1" customWidth="1"/>
    <col min="4362" max="4362" width="14.109375" style="1" customWidth="1"/>
    <col min="4363" max="4363" width="6.109375" style="1" customWidth="1"/>
    <col min="4364" max="4364" width="13.5546875" style="1" customWidth="1"/>
    <col min="4365" max="4365" width="9.88671875" style="1" customWidth="1"/>
    <col min="4366" max="4366" width="12.5546875" style="1" customWidth="1"/>
    <col min="4367" max="4367" width="5.88671875" style="1" customWidth="1"/>
    <col min="4368" max="4368" width="6.88671875" style="1" customWidth="1"/>
    <col min="4369" max="4369" width="6" style="1" customWidth="1"/>
    <col min="4370" max="4370" width="5.6640625" style="1" customWidth="1"/>
    <col min="4371" max="4371" width="4.109375" style="1" customWidth="1"/>
    <col min="4372" max="4373" width="3.33203125" style="1" customWidth="1"/>
    <col min="4374" max="4374" width="5.44140625" style="1" customWidth="1"/>
    <col min="4375" max="4376" width="3.33203125" style="1" customWidth="1"/>
    <col min="4377" max="4377" width="6.109375" style="1" customWidth="1"/>
    <col min="4378" max="4378" width="4" style="1" customWidth="1"/>
    <col min="4379" max="4379" width="7.6640625" style="1" customWidth="1"/>
    <col min="4380" max="4380" width="7" style="1" customWidth="1"/>
    <col min="4381" max="4610" width="9.109375" style="1"/>
    <col min="4611" max="4611" width="5.109375" style="1" customWidth="1"/>
    <col min="4612" max="4612" width="6.109375" style="1" customWidth="1"/>
    <col min="4613" max="4613" width="9.88671875" style="1" customWidth="1"/>
    <col min="4614" max="4614" width="13.109375" style="1" customWidth="1"/>
    <col min="4615" max="4615" width="9.6640625" style="1" customWidth="1"/>
    <col min="4616" max="4616" width="6.88671875" style="1" customWidth="1"/>
    <col min="4617" max="4617" width="10" style="1" customWidth="1"/>
    <col min="4618" max="4618" width="14.109375" style="1" customWidth="1"/>
    <col min="4619" max="4619" width="6.109375" style="1" customWidth="1"/>
    <col min="4620" max="4620" width="13.5546875" style="1" customWidth="1"/>
    <col min="4621" max="4621" width="9.88671875" style="1" customWidth="1"/>
    <col min="4622" max="4622" width="12.5546875" style="1" customWidth="1"/>
    <col min="4623" max="4623" width="5.88671875" style="1" customWidth="1"/>
    <col min="4624" max="4624" width="6.88671875" style="1" customWidth="1"/>
    <col min="4625" max="4625" width="6" style="1" customWidth="1"/>
    <col min="4626" max="4626" width="5.6640625" style="1" customWidth="1"/>
    <col min="4627" max="4627" width="4.109375" style="1" customWidth="1"/>
    <col min="4628" max="4629" width="3.33203125" style="1" customWidth="1"/>
    <col min="4630" max="4630" width="5.44140625" style="1" customWidth="1"/>
    <col min="4631" max="4632" width="3.33203125" style="1" customWidth="1"/>
    <col min="4633" max="4633" width="6.109375" style="1" customWidth="1"/>
    <col min="4634" max="4634" width="4" style="1" customWidth="1"/>
    <col min="4635" max="4635" width="7.6640625" style="1" customWidth="1"/>
    <col min="4636" max="4636" width="7" style="1" customWidth="1"/>
    <col min="4637" max="4866" width="9.109375" style="1"/>
    <col min="4867" max="4867" width="5.109375" style="1" customWidth="1"/>
    <col min="4868" max="4868" width="6.109375" style="1" customWidth="1"/>
    <col min="4869" max="4869" width="9.88671875" style="1" customWidth="1"/>
    <col min="4870" max="4870" width="13.109375" style="1" customWidth="1"/>
    <col min="4871" max="4871" width="9.6640625" style="1" customWidth="1"/>
    <col min="4872" max="4872" width="6.88671875" style="1" customWidth="1"/>
    <col min="4873" max="4873" width="10" style="1" customWidth="1"/>
    <col min="4874" max="4874" width="14.109375" style="1" customWidth="1"/>
    <col min="4875" max="4875" width="6.109375" style="1" customWidth="1"/>
    <col min="4876" max="4876" width="13.5546875" style="1" customWidth="1"/>
    <col min="4877" max="4877" width="9.88671875" style="1" customWidth="1"/>
    <col min="4878" max="4878" width="12.5546875" style="1" customWidth="1"/>
    <col min="4879" max="4879" width="5.88671875" style="1" customWidth="1"/>
    <col min="4880" max="4880" width="6.88671875" style="1" customWidth="1"/>
    <col min="4881" max="4881" width="6" style="1" customWidth="1"/>
    <col min="4882" max="4882" width="5.6640625" style="1" customWidth="1"/>
    <col min="4883" max="4883" width="4.109375" style="1" customWidth="1"/>
    <col min="4884" max="4885" width="3.33203125" style="1" customWidth="1"/>
    <col min="4886" max="4886" width="5.44140625" style="1" customWidth="1"/>
    <col min="4887" max="4888" width="3.33203125" style="1" customWidth="1"/>
    <col min="4889" max="4889" width="6.109375" style="1" customWidth="1"/>
    <col min="4890" max="4890" width="4" style="1" customWidth="1"/>
    <col min="4891" max="4891" width="7.6640625" style="1" customWidth="1"/>
    <col min="4892" max="4892" width="7" style="1" customWidth="1"/>
    <col min="4893" max="5122" width="9.109375" style="1"/>
    <col min="5123" max="5123" width="5.109375" style="1" customWidth="1"/>
    <col min="5124" max="5124" width="6.109375" style="1" customWidth="1"/>
    <col min="5125" max="5125" width="9.88671875" style="1" customWidth="1"/>
    <col min="5126" max="5126" width="13.109375" style="1" customWidth="1"/>
    <col min="5127" max="5127" width="9.6640625" style="1" customWidth="1"/>
    <col min="5128" max="5128" width="6.88671875" style="1" customWidth="1"/>
    <col min="5129" max="5129" width="10" style="1" customWidth="1"/>
    <col min="5130" max="5130" width="14.109375" style="1" customWidth="1"/>
    <col min="5131" max="5131" width="6.109375" style="1" customWidth="1"/>
    <col min="5132" max="5132" width="13.5546875" style="1" customWidth="1"/>
    <col min="5133" max="5133" width="9.88671875" style="1" customWidth="1"/>
    <col min="5134" max="5134" width="12.5546875" style="1" customWidth="1"/>
    <col min="5135" max="5135" width="5.88671875" style="1" customWidth="1"/>
    <col min="5136" max="5136" width="6.88671875" style="1" customWidth="1"/>
    <col min="5137" max="5137" width="6" style="1" customWidth="1"/>
    <col min="5138" max="5138" width="5.6640625" style="1" customWidth="1"/>
    <col min="5139" max="5139" width="4.109375" style="1" customWidth="1"/>
    <col min="5140" max="5141" width="3.33203125" style="1" customWidth="1"/>
    <col min="5142" max="5142" width="5.44140625" style="1" customWidth="1"/>
    <col min="5143" max="5144" width="3.33203125" style="1" customWidth="1"/>
    <col min="5145" max="5145" width="6.109375" style="1" customWidth="1"/>
    <col min="5146" max="5146" width="4" style="1" customWidth="1"/>
    <col min="5147" max="5147" width="7.6640625" style="1" customWidth="1"/>
    <col min="5148" max="5148" width="7" style="1" customWidth="1"/>
    <col min="5149" max="5378" width="9.109375" style="1"/>
    <col min="5379" max="5379" width="5.109375" style="1" customWidth="1"/>
    <col min="5380" max="5380" width="6.109375" style="1" customWidth="1"/>
    <col min="5381" max="5381" width="9.88671875" style="1" customWidth="1"/>
    <col min="5382" max="5382" width="13.109375" style="1" customWidth="1"/>
    <col min="5383" max="5383" width="9.6640625" style="1" customWidth="1"/>
    <col min="5384" max="5384" width="6.88671875" style="1" customWidth="1"/>
    <col min="5385" max="5385" width="10" style="1" customWidth="1"/>
    <col min="5386" max="5386" width="14.109375" style="1" customWidth="1"/>
    <col min="5387" max="5387" width="6.109375" style="1" customWidth="1"/>
    <col min="5388" max="5388" width="13.5546875" style="1" customWidth="1"/>
    <col min="5389" max="5389" width="9.88671875" style="1" customWidth="1"/>
    <col min="5390" max="5390" width="12.5546875" style="1" customWidth="1"/>
    <col min="5391" max="5391" width="5.88671875" style="1" customWidth="1"/>
    <col min="5392" max="5392" width="6.88671875" style="1" customWidth="1"/>
    <col min="5393" max="5393" width="6" style="1" customWidth="1"/>
    <col min="5394" max="5394" width="5.6640625" style="1" customWidth="1"/>
    <col min="5395" max="5395" width="4.109375" style="1" customWidth="1"/>
    <col min="5396" max="5397" width="3.33203125" style="1" customWidth="1"/>
    <col min="5398" max="5398" width="5.44140625" style="1" customWidth="1"/>
    <col min="5399" max="5400" width="3.33203125" style="1" customWidth="1"/>
    <col min="5401" max="5401" width="6.109375" style="1" customWidth="1"/>
    <col min="5402" max="5402" width="4" style="1" customWidth="1"/>
    <col min="5403" max="5403" width="7.6640625" style="1" customWidth="1"/>
    <col min="5404" max="5404" width="7" style="1" customWidth="1"/>
    <col min="5405" max="5634" width="9.109375" style="1"/>
    <col min="5635" max="5635" width="5.109375" style="1" customWidth="1"/>
    <col min="5636" max="5636" width="6.109375" style="1" customWidth="1"/>
    <col min="5637" max="5637" width="9.88671875" style="1" customWidth="1"/>
    <col min="5638" max="5638" width="13.109375" style="1" customWidth="1"/>
    <col min="5639" max="5639" width="9.6640625" style="1" customWidth="1"/>
    <col min="5640" max="5640" width="6.88671875" style="1" customWidth="1"/>
    <col min="5641" max="5641" width="10" style="1" customWidth="1"/>
    <col min="5642" max="5642" width="14.109375" style="1" customWidth="1"/>
    <col min="5643" max="5643" width="6.109375" style="1" customWidth="1"/>
    <col min="5644" max="5644" width="13.5546875" style="1" customWidth="1"/>
    <col min="5645" max="5645" width="9.88671875" style="1" customWidth="1"/>
    <col min="5646" max="5646" width="12.5546875" style="1" customWidth="1"/>
    <col min="5647" max="5647" width="5.88671875" style="1" customWidth="1"/>
    <col min="5648" max="5648" width="6.88671875" style="1" customWidth="1"/>
    <col min="5649" max="5649" width="6" style="1" customWidth="1"/>
    <col min="5650" max="5650" width="5.6640625" style="1" customWidth="1"/>
    <col min="5651" max="5651" width="4.109375" style="1" customWidth="1"/>
    <col min="5652" max="5653" width="3.33203125" style="1" customWidth="1"/>
    <col min="5654" max="5654" width="5.44140625" style="1" customWidth="1"/>
    <col min="5655" max="5656" width="3.33203125" style="1" customWidth="1"/>
    <col min="5657" max="5657" width="6.109375" style="1" customWidth="1"/>
    <col min="5658" max="5658" width="4" style="1" customWidth="1"/>
    <col min="5659" max="5659" width="7.6640625" style="1" customWidth="1"/>
    <col min="5660" max="5660" width="7" style="1" customWidth="1"/>
    <col min="5661" max="5890" width="9.109375" style="1"/>
    <col min="5891" max="5891" width="5.109375" style="1" customWidth="1"/>
    <col min="5892" max="5892" width="6.109375" style="1" customWidth="1"/>
    <col min="5893" max="5893" width="9.88671875" style="1" customWidth="1"/>
    <col min="5894" max="5894" width="13.109375" style="1" customWidth="1"/>
    <col min="5895" max="5895" width="9.6640625" style="1" customWidth="1"/>
    <col min="5896" max="5896" width="6.88671875" style="1" customWidth="1"/>
    <col min="5897" max="5897" width="10" style="1" customWidth="1"/>
    <col min="5898" max="5898" width="14.109375" style="1" customWidth="1"/>
    <col min="5899" max="5899" width="6.109375" style="1" customWidth="1"/>
    <col min="5900" max="5900" width="13.5546875" style="1" customWidth="1"/>
    <col min="5901" max="5901" width="9.88671875" style="1" customWidth="1"/>
    <col min="5902" max="5902" width="12.5546875" style="1" customWidth="1"/>
    <col min="5903" max="5903" width="5.88671875" style="1" customWidth="1"/>
    <col min="5904" max="5904" width="6.88671875" style="1" customWidth="1"/>
    <col min="5905" max="5905" width="6" style="1" customWidth="1"/>
    <col min="5906" max="5906" width="5.6640625" style="1" customWidth="1"/>
    <col min="5907" max="5907" width="4.109375" style="1" customWidth="1"/>
    <col min="5908" max="5909" width="3.33203125" style="1" customWidth="1"/>
    <col min="5910" max="5910" width="5.44140625" style="1" customWidth="1"/>
    <col min="5911" max="5912" width="3.33203125" style="1" customWidth="1"/>
    <col min="5913" max="5913" width="6.109375" style="1" customWidth="1"/>
    <col min="5914" max="5914" width="4" style="1" customWidth="1"/>
    <col min="5915" max="5915" width="7.6640625" style="1" customWidth="1"/>
    <col min="5916" max="5916" width="7" style="1" customWidth="1"/>
    <col min="5917" max="6146" width="9.109375" style="1"/>
    <col min="6147" max="6147" width="5.109375" style="1" customWidth="1"/>
    <col min="6148" max="6148" width="6.109375" style="1" customWidth="1"/>
    <col min="6149" max="6149" width="9.88671875" style="1" customWidth="1"/>
    <col min="6150" max="6150" width="13.109375" style="1" customWidth="1"/>
    <col min="6151" max="6151" width="9.6640625" style="1" customWidth="1"/>
    <col min="6152" max="6152" width="6.88671875" style="1" customWidth="1"/>
    <col min="6153" max="6153" width="10" style="1" customWidth="1"/>
    <col min="6154" max="6154" width="14.109375" style="1" customWidth="1"/>
    <col min="6155" max="6155" width="6.109375" style="1" customWidth="1"/>
    <col min="6156" max="6156" width="13.5546875" style="1" customWidth="1"/>
    <col min="6157" max="6157" width="9.88671875" style="1" customWidth="1"/>
    <col min="6158" max="6158" width="12.5546875" style="1" customWidth="1"/>
    <col min="6159" max="6159" width="5.88671875" style="1" customWidth="1"/>
    <col min="6160" max="6160" width="6.88671875" style="1" customWidth="1"/>
    <col min="6161" max="6161" width="6" style="1" customWidth="1"/>
    <col min="6162" max="6162" width="5.6640625" style="1" customWidth="1"/>
    <col min="6163" max="6163" width="4.109375" style="1" customWidth="1"/>
    <col min="6164" max="6165" width="3.33203125" style="1" customWidth="1"/>
    <col min="6166" max="6166" width="5.44140625" style="1" customWidth="1"/>
    <col min="6167" max="6168" width="3.33203125" style="1" customWidth="1"/>
    <col min="6169" max="6169" width="6.109375" style="1" customWidth="1"/>
    <col min="6170" max="6170" width="4" style="1" customWidth="1"/>
    <col min="6171" max="6171" width="7.6640625" style="1" customWidth="1"/>
    <col min="6172" max="6172" width="7" style="1" customWidth="1"/>
    <col min="6173" max="6402" width="9.109375" style="1"/>
    <col min="6403" max="6403" width="5.109375" style="1" customWidth="1"/>
    <col min="6404" max="6404" width="6.109375" style="1" customWidth="1"/>
    <col min="6405" max="6405" width="9.88671875" style="1" customWidth="1"/>
    <col min="6406" max="6406" width="13.109375" style="1" customWidth="1"/>
    <col min="6407" max="6407" width="9.6640625" style="1" customWidth="1"/>
    <col min="6408" max="6408" width="6.88671875" style="1" customWidth="1"/>
    <col min="6409" max="6409" width="10" style="1" customWidth="1"/>
    <col min="6410" max="6410" width="14.109375" style="1" customWidth="1"/>
    <col min="6411" max="6411" width="6.109375" style="1" customWidth="1"/>
    <col min="6412" max="6412" width="13.5546875" style="1" customWidth="1"/>
    <col min="6413" max="6413" width="9.88671875" style="1" customWidth="1"/>
    <col min="6414" max="6414" width="12.5546875" style="1" customWidth="1"/>
    <col min="6415" max="6415" width="5.88671875" style="1" customWidth="1"/>
    <col min="6416" max="6416" width="6.88671875" style="1" customWidth="1"/>
    <col min="6417" max="6417" width="6" style="1" customWidth="1"/>
    <col min="6418" max="6418" width="5.6640625" style="1" customWidth="1"/>
    <col min="6419" max="6419" width="4.109375" style="1" customWidth="1"/>
    <col min="6420" max="6421" width="3.33203125" style="1" customWidth="1"/>
    <col min="6422" max="6422" width="5.44140625" style="1" customWidth="1"/>
    <col min="6423" max="6424" width="3.33203125" style="1" customWidth="1"/>
    <col min="6425" max="6425" width="6.109375" style="1" customWidth="1"/>
    <col min="6426" max="6426" width="4" style="1" customWidth="1"/>
    <col min="6427" max="6427" width="7.6640625" style="1" customWidth="1"/>
    <col min="6428" max="6428" width="7" style="1" customWidth="1"/>
    <col min="6429" max="6658" width="9.109375" style="1"/>
    <col min="6659" max="6659" width="5.109375" style="1" customWidth="1"/>
    <col min="6660" max="6660" width="6.109375" style="1" customWidth="1"/>
    <col min="6661" max="6661" width="9.88671875" style="1" customWidth="1"/>
    <col min="6662" max="6662" width="13.109375" style="1" customWidth="1"/>
    <col min="6663" max="6663" width="9.6640625" style="1" customWidth="1"/>
    <col min="6664" max="6664" width="6.88671875" style="1" customWidth="1"/>
    <col min="6665" max="6665" width="10" style="1" customWidth="1"/>
    <col min="6666" max="6666" width="14.109375" style="1" customWidth="1"/>
    <col min="6667" max="6667" width="6.109375" style="1" customWidth="1"/>
    <col min="6668" max="6668" width="13.5546875" style="1" customWidth="1"/>
    <col min="6669" max="6669" width="9.88671875" style="1" customWidth="1"/>
    <col min="6670" max="6670" width="12.5546875" style="1" customWidth="1"/>
    <col min="6671" max="6671" width="5.88671875" style="1" customWidth="1"/>
    <col min="6672" max="6672" width="6.88671875" style="1" customWidth="1"/>
    <col min="6673" max="6673" width="6" style="1" customWidth="1"/>
    <col min="6674" max="6674" width="5.6640625" style="1" customWidth="1"/>
    <col min="6675" max="6675" width="4.109375" style="1" customWidth="1"/>
    <col min="6676" max="6677" width="3.33203125" style="1" customWidth="1"/>
    <col min="6678" max="6678" width="5.44140625" style="1" customWidth="1"/>
    <col min="6679" max="6680" width="3.33203125" style="1" customWidth="1"/>
    <col min="6681" max="6681" width="6.109375" style="1" customWidth="1"/>
    <col min="6682" max="6682" width="4" style="1" customWidth="1"/>
    <col min="6683" max="6683" width="7.6640625" style="1" customWidth="1"/>
    <col min="6684" max="6684" width="7" style="1" customWidth="1"/>
    <col min="6685" max="6914" width="9.109375" style="1"/>
    <col min="6915" max="6915" width="5.109375" style="1" customWidth="1"/>
    <col min="6916" max="6916" width="6.109375" style="1" customWidth="1"/>
    <col min="6917" max="6917" width="9.88671875" style="1" customWidth="1"/>
    <col min="6918" max="6918" width="13.109375" style="1" customWidth="1"/>
    <col min="6919" max="6919" width="9.6640625" style="1" customWidth="1"/>
    <col min="6920" max="6920" width="6.88671875" style="1" customWidth="1"/>
    <col min="6921" max="6921" width="10" style="1" customWidth="1"/>
    <col min="6922" max="6922" width="14.109375" style="1" customWidth="1"/>
    <col min="6923" max="6923" width="6.109375" style="1" customWidth="1"/>
    <col min="6924" max="6924" width="13.5546875" style="1" customWidth="1"/>
    <col min="6925" max="6925" width="9.88671875" style="1" customWidth="1"/>
    <col min="6926" max="6926" width="12.5546875" style="1" customWidth="1"/>
    <col min="6927" max="6927" width="5.88671875" style="1" customWidth="1"/>
    <col min="6928" max="6928" width="6.88671875" style="1" customWidth="1"/>
    <col min="6929" max="6929" width="6" style="1" customWidth="1"/>
    <col min="6930" max="6930" width="5.6640625" style="1" customWidth="1"/>
    <col min="6931" max="6931" width="4.109375" style="1" customWidth="1"/>
    <col min="6932" max="6933" width="3.33203125" style="1" customWidth="1"/>
    <col min="6934" max="6934" width="5.44140625" style="1" customWidth="1"/>
    <col min="6935" max="6936" width="3.33203125" style="1" customWidth="1"/>
    <col min="6937" max="6937" width="6.109375" style="1" customWidth="1"/>
    <col min="6938" max="6938" width="4" style="1" customWidth="1"/>
    <col min="6939" max="6939" width="7.6640625" style="1" customWidth="1"/>
    <col min="6940" max="6940" width="7" style="1" customWidth="1"/>
    <col min="6941" max="7170" width="9.109375" style="1"/>
    <col min="7171" max="7171" width="5.109375" style="1" customWidth="1"/>
    <col min="7172" max="7172" width="6.109375" style="1" customWidth="1"/>
    <col min="7173" max="7173" width="9.88671875" style="1" customWidth="1"/>
    <col min="7174" max="7174" width="13.109375" style="1" customWidth="1"/>
    <col min="7175" max="7175" width="9.6640625" style="1" customWidth="1"/>
    <col min="7176" max="7176" width="6.88671875" style="1" customWidth="1"/>
    <col min="7177" max="7177" width="10" style="1" customWidth="1"/>
    <col min="7178" max="7178" width="14.109375" style="1" customWidth="1"/>
    <col min="7179" max="7179" width="6.109375" style="1" customWidth="1"/>
    <col min="7180" max="7180" width="13.5546875" style="1" customWidth="1"/>
    <col min="7181" max="7181" width="9.88671875" style="1" customWidth="1"/>
    <col min="7182" max="7182" width="12.5546875" style="1" customWidth="1"/>
    <col min="7183" max="7183" width="5.88671875" style="1" customWidth="1"/>
    <col min="7184" max="7184" width="6.88671875" style="1" customWidth="1"/>
    <col min="7185" max="7185" width="6" style="1" customWidth="1"/>
    <col min="7186" max="7186" width="5.6640625" style="1" customWidth="1"/>
    <col min="7187" max="7187" width="4.109375" style="1" customWidth="1"/>
    <col min="7188" max="7189" width="3.33203125" style="1" customWidth="1"/>
    <col min="7190" max="7190" width="5.44140625" style="1" customWidth="1"/>
    <col min="7191" max="7192" width="3.33203125" style="1" customWidth="1"/>
    <col min="7193" max="7193" width="6.109375" style="1" customWidth="1"/>
    <col min="7194" max="7194" width="4" style="1" customWidth="1"/>
    <col min="7195" max="7195" width="7.6640625" style="1" customWidth="1"/>
    <col min="7196" max="7196" width="7" style="1" customWidth="1"/>
    <col min="7197" max="7426" width="9.109375" style="1"/>
    <col min="7427" max="7427" width="5.109375" style="1" customWidth="1"/>
    <col min="7428" max="7428" width="6.109375" style="1" customWidth="1"/>
    <col min="7429" max="7429" width="9.88671875" style="1" customWidth="1"/>
    <col min="7430" max="7430" width="13.109375" style="1" customWidth="1"/>
    <col min="7431" max="7431" width="9.6640625" style="1" customWidth="1"/>
    <col min="7432" max="7432" width="6.88671875" style="1" customWidth="1"/>
    <col min="7433" max="7433" width="10" style="1" customWidth="1"/>
    <col min="7434" max="7434" width="14.109375" style="1" customWidth="1"/>
    <col min="7435" max="7435" width="6.109375" style="1" customWidth="1"/>
    <col min="7436" max="7436" width="13.5546875" style="1" customWidth="1"/>
    <col min="7437" max="7437" width="9.88671875" style="1" customWidth="1"/>
    <col min="7438" max="7438" width="12.5546875" style="1" customWidth="1"/>
    <col min="7439" max="7439" width="5.88671875" style="1" customWidth="1"/>
    <col min="7440" max="7440" width="6.88671875" style="1" customWidth="1"/>
    <col min="7441" max="7441" width="6" style="1" customWidth="1"/>
    <col min="7442" max="7442" width="5.6640625" style="1" customWidth="1"/>
    <col min="7443" max="7443" width="4.109375" style="1" customWidth="1"/>
    <col min="7444" max="7445" width="3.33203125" style="1" customWidth="1"/>
    <col min="7446" max="7446" width="5.44140625" style="1" customWidth="1"/>
    <col min="7447" max="7448" width="3.33203125" style="1" customWidth="1"/>
    <col min="7449" max="7449" width="6.109375" style="1" customWidth="1"/>
    <col min="7450" max="7450" width="4" style="1" customWidth="1"/>
    <col min="7451" max="7451" width="7.6640625" style="1" customWidth="1"/>
    <col min="7452" max="7452" width="7" style="1" customWidth="1"/>
    <col min="7453" max="7682" width="9.109375" style="1"/>
    <col min="7683" max="7683" width="5.109375" style="1" customWidth="1"/>
    <col min="7684" max="7684" width="6.109375" style="1" customWidth="1"/>
    <col min="7685" max="7685" width="9.88671875" style="1" customWidth="1"/>
    <col min="7686" max="7686" width="13.109375" style="1" customWidth="1"/>
    <col min="7687" max="7687" width="9.6640625" style="1" customWidth="1"/>
    <col min="7688" max="7688" width="6.88671875" style="1" customWidth="1"/>
    <col min="7689" max="7689" width="10" style="1" customWidth="1"/>
    <col min="7690" max="7690" width="14.109375" style="1" customWidth="1"/>
    <col min="7691" max="7691" width="6.109375" style="1" customWidth="1"/>
    <col min="7692" max="7692" width="13.5546875" style="1" customWidth="1"/>
    <col min="7693" max="7693" width="9.88671875" style="1" customWidth="1"/>
    <col min="7694" max="7694" width="12.5546875" style="1" customWidth="1"/>
    <col min="7695" max="7695" width="5.88671875" style="1" customWidth="1"/>
    <col min="7696" max="7696" width="6.88671875" style="1" customWidth="1"/>
    <col min="7697" max="7697" width="6" style="1" customWidth="1"/>
    <col min="7698" max="7698" width="5.6640625" style="1" customWidth="1"/>
    <col min="7699" max="7699" width="4.109375" style="1" customWidth="1"/>
    <col min="7700" max="7701" width="3.33203125" style="1" customWidth="1"/>
    <col min="7702" max="7702" width="5.44140625" style="1" customWidth="1"/>
    <col min="7703" max="7704" width="3.33203125" style="1" customWidth="1"/>
    <col min="7705" max="7705" width="6.109375" style="1" customWidth="1"/>
    <col min="7706" max="7706" width="4" style="1" customWidth="1"/>
    <col min="7707" max="7707" width="7.6640625" style="1" customWidth="1"/>
    <col min="7708" max="7708" width="7" style="1" customWidth="1"/>
    <col min="7709" max="7938" width="9.109375" style="1"/>
    <col min="7939" max="7939" width="5.109375" style="1" customWidth="1"/>
    <col min="7940" max="7940" width="6.109375" style="1" customWidth="1"/>
    <col min="7941" max="7941" width="9.88671875" style="1" customWidth="1"/>
    <col min="7942" max="7942" width="13.109375" style="1" customWidth="1"/>
    <col min="7943" max="7943" width="9.6640625" style="1" customWidth="1"/>
    <col min="7944" max="7944" width="6.88671875" style="1" customWidth="1"/>
    <col min="7945" max="7945" width="10" style="1" customWidth="1"/>
    <col min="7946" max="7946" width="14.109375" style="1" customWidth="1"/>
    <col min="7947" max="7947" width="6.109375" style="1" customWidth="1"/>
    <col min="7948" max="7948" width="13.5546875" style="1" customWidth="1"/>
    <col min="7949" max="7949" width="9.88671875" style="1" customWidth="1"/>
    <col min="7950" max="7950" width="12.5546875" style="1" customWidth="1"/>
    <col min="7951" max="7951" width="5.88671875" style="1" customWidth="1"/>
    <col min="7952" max="7952" width="6.88671875" style="1" customWidth="1"/>
    <col min="7953" max="7953" width="6" style="1" customWidth="1"/>
    <col min="7954" max="7954" width="5.6640625" style="1" customWidth="1"/>
    <col min="7955" max="7955" width="4.109375" style="1" customWidth="1"/>
    <col min="7956" max="7957" width="3.33203125" style="1" customWidth="1"/>
    <col min="7958" max="7958" width="5.44140625" style="1" customWidth="1"/>
    <col min="7959" max="7960" width="3.33203125" style="1" customWidth="1"/>
    <col min="7961" max="7961" width="6.109375" style="1" customWidth="1"/>
    <col min="7962" max="7962" width="4" style="1" customWidth="1"/>
    <col min="7963" max="7963" width="7.6640625" style="1" customWidth="1"/>
    <col min="7964" max="7964" width="7" style="1" customWidth="1"/>
    <col min="7965" max="8194" width="9.109375" style="1"/>
    <col min="8195" max="8195" width="5.109375" style="1" customWidth="1"/>
    <col min="8196" max="8196" width="6.109375" style="1" customWidth="1"/>
    <col min="8197" max="8197" width="9.88671875" style="1" customWidth="1"/>
    <col min="8198" max="8198" width="13.109375" style="1" customWidth="1"/>
    <col min="8199" max="8199" width="9.6640625" style="1" customWidth="1"/>
    <col min="8200" max="8200" width="6.88671875" style="1" customWidth="1"/>
    <col min="8201" max="8201" width="10" style="1" customWidth="1"/>
    <col min="8202" max="8202" width="14.109375" style="1" customWidth="1"/>
    <col min="8203" max="8203" width="6.109375" style="1" customWidth="1"/>
    <col min="8204" max="8204" width="13.5546875" style="1" customWidth="1"/>
    <col min="8205" max="8205" width="9.88671875" style="1" customWidth="1"/>
    <col min="8206" max="8206" width="12.5546875" style="1" customWidth="1"/>
    <col min="8207" max="8207" width="5.88671875" style="1" customWidth="1"/>
    <col min="8208" max="8208" width="6.88671875" style="1" customWidth="1"/>
    <col min="8209" max="8209" width="6" style="1" customWidth="1"/>
    <col min="8210" max="8210" width="5.6640625" style="1" customWidth="1"/>
    <col min="8211" max="8211" width="4.109375" style="1" customWidth="1"/>
    <col min="8212" max="8213" width="3.33203125" style="1" customWidth="1"/>
    <col min="8214" max="8214" width="5.44140625" style="1" customWidth="1"/>
    <col min="8215" max="8216" width="3.33203125" style="1" customWidth="1"/>
    <col min="8217" max="8217" width="6.109375" style="1" customWidth="1"/>
    <col min="8218" max="8218" width="4" style="1" customWidth="1"/>
    <col min="8219" max="8219" width="7.6640625" style="1" customWidth="1"/>
    <col min="8220" max="8220" width="7" style="1" customWidth="1"/>
    <col min="8221" max="8450" width="9.109375" style="1"/>
    <col min="8451" max="8451" width="5.109375" style="1" customWidth="1"/>
    <col min="8452" max="8452" width="6.109375" style="1" customWidth="1"/>
    <col min="8453" max="8453" width="9.88671875" style="1" customWidth="1"/>
    <col min="8454" max="8454" width="13.109375" style="1" customWidth="1"/>
    <col min="8455" max="8455" width="9.6640625" style="1" customWidth="1"/>
    <col min="8456" max="8456" width="6.88671875" style="1" customWidth="1"/>
    <col min="8457" max="8457" width="10" style="1" customWidth="1"/>
    <col min="8458" max="8458" width="14.109375" style="1" customWidth="1"/>
    <col min="8459" max="8459" width="6.109375" style="1" customWidth="1"/>
    <col min="8460" max="8460" width="13.5546875" style="1" customWidth="1"/>
    <col min="8461" max="8461" width="9.88671875" style="1" customWidth="1"/>
    <col min="8462" max="8462" width="12.5546875" style="1" customWidth="1"/>
    <col min="8463" max="8463" width="5.88671875" style="1" customWidth="1"/>
    <col min="8464" max="8464" width="6.88671875" style="1" customWidth="1"/>
    <col min="8465" max="8465" width="6" style="1" customWidth="1"/>
    <col min="8466" max="8466" width="5.6640625" style="1" customWidth="1"/>
    <col min="8467" max="8467" width="4.109375" style="1" customWidth="1"/>
    <col min="8468" max="8469" width="3.33203125" style="1" customWidth="1"/>
    <col min="8470" max="8470" width="5.44140625" style="1" customWidth="1"/>
    <col min="8471" max="8472" width="3.33203125" style="1" customWidth="1"/>
    <col min="8473" max="8473" width="6.109375" style="1" customWidth="1"/>
    <col min="8474" max="8474" width="4" style="1" customWidth="1"/>
    <col min="8475" max="8475" width="7.6640625" style="1" customWidth="1"/>
    <col min="8476" max="8476" width="7" style="1" customWidth="1"/>
    <col min="8477" max="8706" width="9.109375" style="1"/>
    <col min="8707" max="8707" width="5.109375" style="1" customWidth="1"/>
    <col min="8708" max="8708" width="6.109375" style="1" customWidth="1"/>
    <col min="8709" max="8709" width="9.88671875" style="1" customWidth="1"/>
    <col min="8710" max="8710" width="13.109375" style="1" customWidth="1"/>
    <col min="8711" max="8711" width="9.6640625" style="1" customWidth="1"/>
    <col min="8712" max="8712" width="6.88671875" style="1" customWidth="1"/>
    <col min="8713" max="8713" width="10" style="1" customWidth="1"/>
    <col min="8714" max="8714" width="14.109375" style="1" customWidth="1"/>
    <col min="8715" max="8715" width="6.109375" style="1" customWidth="1"/>
    <col min="8716" max="8716" width="13.5546875" style="1" customWidth="1"/>
    <col min="8717" max="8717" width="9.88671875" style="1" customWidth="1"/>
    <col min="8718" max="8718" width="12.5546875" style="1" customWidth="1"/>
    <col min="8719" max="8719" width="5.88671875" style="1" customWidth="1"/>
    <col min="8720" max="8720" width="6.88671875" style="1" customWidth="1"/>
    <col min="8721" max="8721" width="6" style="1" customWidth="1"/>
    <col min="8722" max="8722" width="5.6640625" style="1" customWidth="1"/>
    <col min="8723" max="8723" width="4.109375" style="1" customWidth="1"/>
    <col min="8724" max="8725" width="3.33203125" style="1" customWidth="1"/>
    <col min="8726" max="8726" width="5.44140625" style="1" customWidth="1"/>
    <col min="8727" max="8728" width="3.33203125" style="1" customWidth="1"/>
    <col min="8729" max="8729" width="6.109375" style="1" customWidth="1"/>
    <col min="8730" max="8730" width="4" style="1" customWidth="1"/>
    <col min="8731" max="8731" width="7.6640625" style="1" customWidth="1"/>
    <col min="8732" max="8732" width="7" style="1" customWidth="1"/>
    <col min="8733" max="8962" width="9.109375" style="1"/>
    <col min="8963" max="8963" width="5.109375" style="1" customWidth="1"/>
    <col min="8964" max="8964" width="6.109375" style="1" customWidth="1"/>
    <col min="8965" max="8965" width="9.88671875" style="1" customWidth="1"/>
    <col min="8966" max="8966" width="13.109375" style="1" customWidth="1"/>
    <col min="8967" max="8967" width="9.6640625" style="1" customWidth="1"/>
    <col min="8968" max="8968" width="6.88671875" style="1" customWidth="1"/>
    <col min="8969" max="8969" width="10" style="1" customWidth="1"/>
    <col min="8970" max="8970" width="14.109375" style="1" customWidth="1"/>
    <col min="8971" max="8971" width="6.109375" style="1" customWidth="1"/>
    <col min="8972" max="8972" width="13.5546875" style="1" customWidth="1"/>
    <col min="8973" max="8973" width="9.88671875" style="1" customWidth="1"/>
    <col min="8974" max="8974" width="12.5546875" style="1" customWidth="1"/>
    <col min="8975" max="8975" width="5.88671875" style="1" customWidth="1"/>
    <col min="8976" max="8976" width="6.88671875" style="1" customWidth="1"/>
    <col min="8977" max="8977" width="6" style="1" customWidth="1"/>
    <col min="8978" max="8978" width="5.6640625" style="1" customWidth="1"/>
    <col min="8979" max="8979" width="4.109375" style="1" customWidth="1"/>
    <col min="8980" max="8981" width="3.33203125" style="1" customWidth="1"/>
    <col min="8982" max="8982" width="5.44140625" style="1" customWidth="1"/>
    <col min="8983" max="8984" width="3.33203125" style="1" customWidth="1"/>
    <col min="8985" max="8985" width="6.109375" style="1" customWidth="1"/>
    <col min="8986" max="8986" width="4" style="1" customWidth="1"/>
    <col min="8987" max="8987" width="7.6640625" style="1" customWidth="1"/>
    <col min="8988" max="8988" width="7" style="1" customWidth="1"/>
    <col min="8989" max="9218" width="9.109375" style="1"/>
    <col min="9219" max="9219" width="5.109375" style="1" customWidth="1"/>
    <col min="9220" max="9220" width="6.109375" style="1" customWidth="1"/>
    <col min="9221" max="9221" width="9.88671875" style="1" customWidth="1"/>
    <col min="9222" max="9222" width="13.109375" style="1" customWidth="1"/>
    <col min="9223" max="9223" width="9.6640625" style="1" customWidth="1"/>
    <col min="9224" max="9224" width="6.88671875" style="1" customWidth="1"/>
    <col min="9225" max="9225" width="10" style="1" customWidth="1"/>
    <col min="9226" max="9226" width="14.109375" style="1" customWidth="1"/>
    <col min="9227" max="9227" width="6.109375" style="1" customWidth="1"/>
    <col min="9228" max="9228" width="13.5546875" style="1" customWidth="1"/>
    <col min="9229" max="9229" width="9.88671875" style="1" customWidth="1"/>
    <col min="9230" max="9230" width="12.5546875" style="1" customWidth="1"/>
    <col min="9231" max="9231" width="5.88671875" style="1" customWidth="1"/>
    <col min="9232" max="9232" width="6.88671875" style="1" customWidth="1"/>
    <col min="9233" max="9233" width="6" style="1" customWidth="1"/>
    <col min="9234" max="9234" width="5.6640625" style="1" customWidth="1"/>
    <col min="9235" max="9235" width="4.109375" style="1" customWidth="1"/>
    <col min="9236" max="9237" width="3.33203125" style="1" customWidth="1"/>
    <col min="9238" max="9238" width="5.44140625" style="1" customWidth="1"/>
    <col min="9239" max="9240" width="3.33203125" style="1" customWidth="1"/>
    <col min="9241" max="9241" width="6.109375" style="1" customWidth="1"/>
    <col min="9242" max="9242" width="4" style="1" customWidth="1"/>
    <col min="9243" max="9243" width="7.6640625" style="1" customWidth="1"/>
    <col min="9244" max="9244" width="7" style="1" customWidth="1"/>
    <col min="9245" max="9474" width="9.109375" style="1"/>
    <col min="9475" max="9475" width="5.109375" style="1" customWidth="1"/>
    <col min="9476" max="9476" width="6.109375" style="1" customWidth="1"/>
    <col min="9477" max="9477" width="9.88671875" style="1" customWidth="1"/>
    <col min="9478" max="9478" width="13.109375" style="1" customWidth="1"/>
    <col min="9479" max="9479" width="9.6640625" style="1" customWidth="1"/>
    <col min="9480" max="9480" width="6.88671875" style="1" customWidth="1"/>
    <col min="9481" max="9481" width="10" style="1" customWidth="1"/>
    <col min="9482" max="9482" width="14.109375" style="1" customWidth="1"/>
    <col min="9483" max="9483" width="6.109375" style="1" customWidth="1"/>
    <col min="9484" max="9484" width="13.5546875" style="1" customWidth="1"/>
    <col min="9485" max="9485" width="9.88671875" style="1" customWidth="1"/>
    <col min="9486" max="9486" width="12.5546875" style="1" customWidth="1"/>
    <col min="9487" max="9487" width="5.88671875" style="1" customWidth="1"/>
    <col min="9488" max="9488" width="6.88671875" style="1" customWidth="1"/>
    <col min="9489" max="9489" width="6" style="1" customWidth="1"/>
    <col min="9490" max="9490" width="5.6640625" style="1" customWidth="1"/>
    <col min="9491" max="9491" width="4.109375" style="1" customWidth="1"/>
    <col min="9492" max="9493" width="3.33203125" style="1" customWidth="1"/>
    <col min="9494" max="9494" width="5.44140625" style="1" customWidth="1"/>
    <col min="9495" max="9496" width="3.33203125" style="1" customWidth="1"/>
    <col min="9497" max="9497" width="6.109375" style="1" customWidth="1"/>
    <col min="9498" max="9498" width="4" style="1" customWidth="1"/>
    <col min="9499" max="9499" width="7.6640625" style="1" customWidth="1"/>
    <col min="9500" max="9500" width="7" style="1" customWidth="1"/>
    <col min="9501" max="9730" width="9.109375" style="1"/>
    <col min="9731" max="9731" width="5.109375" style="1" customWidth="1"/>
    <col min="9732" max="9732" width="6.109375" style="1" customWidth="1"/>
    <col min="9733" max="9733" width="9.88671875" style="1" customWidth="1"/>
    <col min="9734" max="9734" width="13.109375" style="1" customWidth="1"/>
    <col min="9735" max="9735" width="9.6640625" style="1" customWidth="1"/>
    <col min="9736" max="9736" width="6.88671875" style="1" customWidth="1"/>
    <col min="9737" max="9737" width="10" style="1" customWidth="1"/>
    <col min="9738" max="9738" width="14.109375" style="1" customWidth="1"/>
    <col min="9739" max="9739" width="6.109375" style="1" customWidth="1"/>
    <col min="9740" max="9740" width="13.5546875" style="1" customWidth="1"/>
    <col min="9741" max="9741" width="9.88671875" style="1" customWidth="1"/>
    <col min="9742" max="9742" width="12.5546875" style="1" customWidth="1"/>
    <col min="9743" max="9743" width="5.88671875" style="1" customWidth="1"/>
    <col min="9744" max="9744" width="6.88671875" style="1" customWidth="1"/>
    <col min="9745" max="9745" width="6" style="1" customWidth="1"/>
    <col min="9746" max="9746" width="5.6640625" style="1" customWidth="1"/>
    <col min="9747" max="9747" width="4.109375" style="1" customWidth="1"/>
    <col min="9748" max="9749" width="3.33203125" style="1" customWidth="1"/>
    <col min="9750" max="9750" width="5.44140625" style="1" customWidth="1"/>
    <col min="9751" max="9752" width="3.33203125" style="1" customWidth="1"/>
    <col min="9753" max="9753" width="6.109375" style="1" customWidth="1"/>
    <col min="9754" max="9754" width="4" style="1" customWidth="1"/>
    <col min="9755" max="9755" width="7.6640625" style="1" customWidth="1"/>
    <col min="9756" max="9756" width="7" style="1" customWidth="1"/>
    <col min="9757" max="9986" width="9.109375" style="1"/>
    <col min="9987" max="9987" width="5.109375" style="1" customWidth="1"/>
    <col min="9988" max="9988" width="6.109375" style="1" customWidth="1"/>
    <col min="9989" max="9989" width="9.88671875" style="1" customWidth="1"/>
    <col min="9990" max="9990" width="13.109375" style="1" customWidth="1"/>
    <col min="9991" max="9991" width="9.6640625" style="1" customWidth="1"/>
    <col min="9992" max="9992" width="6.88671875" style="1" customWidth="1"/>
    <col min="9993" max="9993" width="10" style="1" customWidth="1"/>
    <col min="9994" max="9994" width="14.109375" style="1" customWidth="1"/>
    <col min="9995" max="9995" width="6.109375" style="1" customWidth="1"/>
    <col min="9996" max="9996" width="13.5546875" style="1" customWidth="1"/>
    <col min="9997" max="9997" width="9.88671875" style="1" customWidth="1"/>
    <col min="9998" max="9998" width="12.5546875" style="1" customWidth="1"/>
    <col min="9999" max="9999" width="5.88671875" style="1" customWidth="1"/>
    <col min="10000" max="10000" width="6.88671875" style="1" customWidth="1"/>
    <col min="10001" max="10001" width="6" style="1" customWidth="1"/>
    <col min="10002" max="10002" width="5.6640625" style="1" customWidth="1"/>
    <col min="10003" max="10003" width="4.109375" style="1" customWidth="1"/>
    <col min="10004" max="10005" width="3.33203125" style="1" customWidth="1"/>
    <col min="10006" max="10006" width="5.44140625" style="1" customWidth="1"/>
    <col min="10007" max="10008" width="3.33203125" style="1" customWidth="1"/>
    <col min="10009" max="10009" width="6.109375" style="1" customWidth="1"/>
    <col min="10010" max="10010" width="4" style="1" customWidth="1"/>
    <col min="10011" max="10011" width="7.6640625" style="1" customWidth="1"/>
    <col min="10012" max="10012" width="7" style="1" customWidth="1"/>
    <col min="10013" max="10242" width="9.109375" style="1"/>
    <col min="10243" max="10243" width="5.109375" style="1" customWidth="1"/>
    <col min="10244" max="10244" width="6.109375" style="1" customWidth="1"/>
    <col min="10245" max="10245" width="9.88671875" style="1" customWidth="1"/>
    <col min="10246" max="10246" width="13.109375" style="1" customWidth="1"/>
    <col min="10247" max="10247" width="9.6640625" style="1" customWidth="1"/>
    <col min="10248" max="10248" width="6.88671875" style="1" customWidth="1"/>
    <col min="10249" max="10249" width="10" style="1" customWidth="1"/>
    <col min="10250" max="10250" width="14.109375" style="1" customWidth="1"/>
    <col min="10251" max="10251" width="6.109375" style="1" customWidth="1"/>
    <col min="10252" max="10252" width="13.5546875" style="1" customWidth="1"/>
    <col min="10253" max="10253" width="9.88671875" style="1" customWidth="1"/>
    <col min="10254" max="10254" width="12.5546875" style="1" customWidth="1"/>
    <col min="10255" max="10255" width="5.88671875" style="1" customWidth="1"/>
    <col min="10256" max="10256" width="6.88671875" style="1" customWidth="1"/>
    <col min="10257" max="10257" width="6" style="1" customWidth="1"/>
    <col min="10258" max="10258" width="5.6640625" style="1" customWidth="1"/>
    <col min="10259" max="10259" width="4.109375" style="1" customWidth="1"/>
    <col min="10260" max="10261" width="3.33203125" style="1" customWidth="1"/>
    <col min="10262" max="10262" width="5.44140625" style="1" customWidth="1"/>
    <col min="10263" max="10264" width="3.33203125" style="1" customWidth="1"/>
    <col min="10265" max="10265" width="6.109375" style="1" customWidth="1"/>
    <col min="10266" max="10266" width="4" style="1" customWidth="1"/>
    <col min="10267" max="10267" width="7.6640625" style="1" customWidth="1"/>
    <col min="10268" max="10268" width="7" style="1" customWidth="1"/>
    <col min="10269" max="10498" width="9.109375" style="1"/>
    <col min="10499" max="10499" width="5.109375" style="1" customWidth="1"/>
    <col min="10500" max="10500" width="6.109375" style="1" customWidth="1"/>
    <col min="10501" max="10501" width="9.88671875" style="1" customWidth="1"/>
    <col min="10502" max="10502" width="13.109375" style="1" customWidth="1"/>
    <col min="10503" max="10503" width="9.6640625" style="1" customWidth="1"/>
    <col min="10504" max="10504" width="6.88671875" style="1" customWidth="1"/>
    <col min="10505" max="10505" width="10" style="1" customWidth="1"/>
    <col min="10506" max="10506" width="14.109375" style="1" customWidth="1"/>
    <col min="10507" max="10507" width="6.109375" style="1" customWidth="1"/>
    <col min="10508" max="10508" width="13.5546875" style="1" customWidth="1"/>
    <col min="10509" max="10509" width="9.88671875" style="1" customWidth="1"/>
    <col min="10510" max="10510" width="12.5546875" style="1" customWidth="1"/>
    <col min="10511" max="10511" width="5.88671875" style="1" customWidth="1"/>
    <col min="10512" max="10512" width="6.88671875" style="1" customWidth="1"/>
    <col min="10513" max="10513" width="6" style="1" customWidth="1"/>
    <col min="10514" max="10514" width="5.6640625" style="1" customWidth="1"/>
    <col min="10515" max="10515" width="4.109375" style="1" customWidth="1"/>
    <col min="10516" max="10517" width="3.33203125" style="1" customWidth="1"/>
    <col min="10518" max="10518" width="5.44140625" style="1" customWidth="1"/>
    <col min="10519" max="10520" width="3.33203125" style="1" customWidth="1"/>
    <col min="10521" max="10521" width="6.109375" style="1" customWidth="1"/>
    <col min="10522" max="10522" width="4" style="1" customWidth="1"/>
    <col min="10523" max="10523" width="7.6640625" style="1" customWidth="1"/>
    <col min="10524" max="10524" width="7" style="1" customWidth="1"/>
    <col min="10525" max="10754" width="9.109375" style="1"/>
    <col min="10755" max="10755" width="5.109375" style="1" customWidth="1"/>
    <col min="10756" max="10756" width="6.109375" style="1" customWidth="1"/>
    <col min="10757" max="10757" width="9.88671875" style="1" customWidth="1"/>
    <col min="10758" max="10758" width="13.109375" style="1" customWidth="1"/>
    <col min="10759" max="10759" width="9.6640625" style="1" customWidth="1"/>
    <col min="10760" max="10760" width="6.88671875" style="1" customWidth="1"/>
    <col min="10761" max="10761" width="10" style="1" customWidth="1"/>
    <col min="10762" max="10762" width="14.109375" style="1" customWidth="1"/>
    <col min="10763" max="10763" width="6.109375" style="1" customWidth="1"/>
    <col min="10764" max="10764" width="13.5546875" style="1" customWidth="1"/>
    <col min="10765" max="10765" width="9.88671875" style="1" customWidth="1"/>
    <col min="10766" max="10766" width="12.5546875" style="1" customWidth="1"/>
    <col min="10767" max="10767" width="5.88671875" style="1" customWidth="1"/>
    <col min="10768" max="10768" width="6.88671875" style="1" customWidth="1"/>
    <col min="10769" max="10769" width="6" style="1" customWidth="1"/>
    <col min="10770" max="10770" width="5.6640625" style="1" customWidth="1"/>
    <col min="10771" max="10771" width="4.109375" style="1" customWidth="1"/>
    <col min="10772" max="10773" width="3.33203125" style="1" customWidth="1"/>
    <col min="10774" max="10774" width="5.44140625" style="1" customWidth="1"/>
    <col min="10775" max="10776" width="3.33203125" style="1" customWidth="1"/>
    <col min="10777" max="10777" width="6.109375" style="1" customWidth="1"/>
    <col min="10778" max="10778" width="4" style="1" customWidth="1"/>
    <col min="10779" max="10779" width="7.6640625" style="1" customWidth="1"/>
    <col min="10780" max="10780" width="7" style="1" customWidth="1"/>
    <col min="10781" max="11010" width="9.109375" style="1"/>
    <col min="11011" max="11011" width="5.109375" style="1" customWidth="1"/>
    <col min="11012" max="11012" width="6.109375" style="1" customWidth="1"/>
    <col min="11013" max="11013" width="9.88671875" style="1" customWidth="1"/>
    <col min="11014" max="11014" width="13.109375" style="1" customWidth="1"/>
    <col min="11015" max="11015" width="9.6640625" style="1" customWidth="1"/>
    <col min="11016" max="11016" width="6.88671875" style="1" customWidth="1"/>
    <col min="11017" max="11017" width="10" style="1" customWidth="1"/>
    <col min="11018" max="11018" width="14.109375" style="1" customWidth="1"/>
    <col min="11019" max="11019" width="6.109375" style="1" customWidth="1"/>
    <col min="11020" max="11020" width="13.5546875" style="1" customWidth="1"/>
    <col min="11021" max="11021" width="9.88671875" style="1" customWidth="1"/>
    <col min="11022" max="11022" width="12.5546875" style="1" customWidth="1"/>
    <col min="11023" max="11023" width="5.88671875" style="1" customWidth="1"/>
    <col min="11024" max="11024" width="6.88671875" style="1" customWidth="1"/>
    <col min="11025" max="11025" width="6" style="1" customWidth="1"/>
    <col min="11026" max="11026" width="5.6640625" style="1" customWidth="1"/>
    <col min="11027" max="11027" width="4.109375" style="1" customWidth="1"/>
    <col min="11028" max="11029" width="3.33203125" style="1" customWidth="1"/>
    <col min="11030" max="11030" width="5.44140625" style="1" customWidth="1"/>
    <col min="11031" max="11032" width="3.33203125" style="1" customWidth="1"/>
    <col min="11033" max="11033" width="6.109375" style="1" customWidth="1"/>
    <col min="11034" max="11034" width="4" style="1" customWidth="1"/>
    <col min="11035" max="11035" width="7.6640625" style="1" customWidth="1"/>
    <col min="11036" max="11036" width="7" style="1" customWidth="1"/>
    <col min="11037" max="11266" width="9.109375" style="1"/>
    <col min="11267" max="11267" width="5.109375" style="1" customWidth="1"/>
    <col min="11268" max="11268" width="6.109375" style="1" customWidth="1"/>
    <col min="11269" max="11269" width="9.88671875" style="1" customWidth="1"/>
    <col min="11270" max="11270" width="13.109375" style="1" customWidth="1"/>
    <col min="11271" max="11271" width="9.6640625" style="1" customWidth="1"/>
    <col min="11272" max="11272" width="6.88671875" style="1" customWidth="1"/>
    <col min="11273" max="11273" width="10" style="1" customWidth="1"/>
    <col min="11274" max="11274" width="14.109375" style="1" customWidth="1"/>
    <col min="11275" max="11275" width="6.109375" style="1" customWidth="1"/>
    <col min="11276" max="11276" width="13.5546875" style="1" customWidth="1"/>
    <col min="11277" max="11277" width="9.88671875" style="1" customWidth="1"/>
    <col min="11278" max="11278" width="12.5546875" style="1" customWidth="1"/>
    <col min="11279" max="11279" width="5.88671875" style="1" customWidth="1"/>
    <col min="11280" max="11280" width="6.88671875" style="1" customWidth="1"/>
    <col min="11281" max="11281" width="6" style="1" customWidth="1"/>
    <col min="11282" max="11282" width="5.6640625" style="1" customWidth="1"/>
    <col min="11283" max="11283" width="4.109375" style="1" customWidth="1"/>
    <col min="11284" max="11285" width="3.33203125" style="1" customWidth="1"/>
    <col min="11286" max="11286" width="5.44140625" style="1" customWidth="1"/>
    <col min="11287" max="11288" width="3.33203125" style="1" customWidth="1"/>
    <col min="11289" max="11289" width="6.109375" style="1" customWidth="1"/>
    <col min="11290" max="11290" width="4" style="1" customWidth="1"/>
    <col min="11291" max="11291" width="7.6640625" style="1" customWidth="1"/>
    <col min="11292" max="11292" width="7" style="1" customWidth="1"/>
    <col min="11293" max="11522" width="9.109375" style="1"/>
    <col min="11523" max="11523" width="5.109375" style="1" customWidth="1"/>
    <col min="11524" max="11524" width="6.109375" style="1" customWidth="1"/>
    <col min="11525" max="11525" width="9.88671875" style="1" customWidth="1"/>
    <col min="11526" max="11526" width="13.109375" style="1" customWidth="1"/>
    <col min="11527" max="11527" width="9.6640625" style="1" customWidth="1"/>
    <col min="11528" max="11528" width="6.88671875" style="1" customWidth="1"/>
    <col min="11529" max="11529" width="10" style="1" customWidth="1"/>
    <col min="11530" max="11530" width="14.109375" style="1" customWidth="1"/>
    <col min="11531" max="11531" width="6.109375" style="1" customWidth="1"/>
    <col min="11532" max="11532" width="13.5546875" style="1" customWidth="1"/>
    <col min="11533" max="11533" width="9.88671875" style="1" customWidth="1"/>
    <col min="11534" max="11534" width="12.5546875" style="1" customWidth="1"/>
    <col min="11535" max="11535" width="5.88671875" style="1" customWidth="1"/>
    <col min="11536" max="11536" width="6.88671875" style="1" customWidth="1"/>
    <col min="11537" max="11537" width="6" style="1" customWidth="1"/>
    <col min="11538" max="11538" width="5.6640625" style="1" customWidth="1"/>
    <col min="11539" max="11539" width="4.109375" style="1" customWidth="1"/>
    <col min="11540" max="11541" width="3.33203125" style="1" customWidth="1"/>
    <col min="11542" max="11542" width="5.44140625" style="1" customWidth="1"/>
    <col min="11543" max="11544" width="3.33203125" style="1" customWidth="1"/>
    <col min="11545" max="11545" width="6.109375" style="1" customWidth="1"/>
    <col min="11546" max="11546" width="4" style="1" customWidth="1"/>
    <col min="11547" max="11547" width="7.6640625" style="1" customWidth="1"/>
    <col min="11548" max="11548" width="7" style="1" customWidth="1"/>
    <col min="11549" max="11778" width="9.109375" style="1"/>
    <col min="11779" max="11779" width="5.109375" style="1" customWidth="1"/>
    <col min="11780" max="11780" width="6.109375" style="1" customWidth="1"/>
    <col min="11781" max="11781" width="9.88671875" style="1" customWidth="1"/>
    <col min="11782" max="11782" width="13.109375" style="1" customWidth="1"/>
    <col min="11783" max="11783" width="9.6640625" style="1" customWidth="1"/>
    <col min="11784" max="11784" width="6.88671875" style="1" customWidth="1"/>
    <col min="11785" max="11785" width="10" style="1" customWidth="1"/>
    <col min="11786" max="11786" width="14.109375" style="1" customWidth="1"/>
    <col min="11787" max="11787" width="6.109375" style="1" customWidth="1"/>
    <col min="11788" max="11788" width="13.5546875" style="1" customWidth="1"/>
    <col min="11789" max="11789" width="9.88671875" style="1" customWidth="1"/>
    <col min="11790" max="11790" width="12.5546875" style="1" customWidth="1"/>
    <col min="11791" max="11791" width="5.88671875" style="1" customWidth="1"/>
    <col min="11792" max="11792" width="6.88671875" style="1" customWidth="1"/>
    <col min="11793" max="11793" width="6" style="1" customWidth="1"/>
    <col min="11794" max="11794" width="5.6640625" style="1" customWidth="1"/>
    <col min="11795" max="11795" width="4.109375" style="1" customWidth="1"/>
    <col min="11796" max="11797" width="3.33203125" style="1" customWidth="1"/>
    <col min="11798" max="11798" width="5.44140625" style="1" customWidth="1"/>
    <col min="11799" max="11800" width="3.33203125" style="1" customWidth="1"/>
    <col min="11801" max="11801" width="6.109375" style="1" customWidth="1"/>
    <col min="11802" max="11802" width="4" style="1" customWidth="1"/>
    <col min="11803" max="11803" width="7.6640625" style="1" customWidth="1"/>
    <col min="11804" max="11804" width="7" style="1" customWidth="1"/>
    <col min="11805" max="12034" width="9.109375" style="1"/>
    <col min="12035" max="12035" width="5.109375" style="1" customWidth="1"/>
    <col min="12036" max="12036" width="6.109375" style="1" customWidth="1"/>
    <col min="12037" max="12037" width="9.88671875" style="1" customWidth="1"/>
    <col min="12038" max="12038" width="13.109375" style="1" customWidth="1"/>
    <col min="12039" max="12039" width="9.6640625" style="1" customWidth="1"/>
    <col min="12040" max="12040" width="6.88671875" style="1" customWidth="1"/>
    <col min="12041" max="12041" width="10" style="1" customWidth="1"/>
    <col min="12042" max="12042" width="14.109375" style="1" customWidth="1"/>
    <col min="12043" max="12043" width="6.109375" style="1" customWidth="1"/>
    <col min="12044" max="12044" width="13.5546875" style="1" customWidth="1"/>
    <col min="12045" max="12045" width="9.88671875" style="1" customWidth="1"/>
    <col min="12046" max="12046" width="12.5546875" style="1" customWidth="1"/>
    <col min="12047" max="12047" width="5.88671875" style="1" customWidth="1"/>
    <col min="12048" max="12048" width="6.88671875" style="1" customWidth="1"/>
    <col min="12049" max="12049" width="6" style="1" customWidth="1"/>
    <col min="12050" max="12050" width="5.6640625" style="1" customWidth="1"/>
    <col min="12051" max="12051" width="4.109375" style="1" customWidth="1"/>
    <col min="12052" max="12053" width="3.33203125" style="1" customWidth="1"/>
    <col min="12054" max="12054" width="5.44140625" style="1" customWidth="1"/>
    <col min="12055" max="12056" width="3.33203125" style="1" customWidth="1"/>
    <col min="12057" max="12057" width="6.109375" style="1" customWidth="1"/>
    <col min="12058" max="12058" width="4" style="1" customWidth="1"/>
    <col min="12059" max="12059" width="7.6640625" style="1" customWidth="1"/>
    <col min="12060" max="12060" width="7" style="1" customWidth="1"/>
    <col min="12061" max="12290" width="9.109375" style="1"/>
    <col min="12291" max="12291" width="5.109375" style="1" customWidth="1"/>
    <col min="12292" max="12292" width="6.109375" style="1" customWidth="1"/>
    <col min="12293" max="12293" width="9.88671875" style="1" customWidth="1"/>
    <col min="12294" max="12294" width="13.109375" style="1" customWidth="1"/>
    <col min="12295" max="12295" width="9.6640625" style="1" customWidth="1"/>
    <col min="12296" max="12296" width="6.88671875" style="1" customWidth="1"/>
    <col min="12297" max="12297" width="10" style="1" customWidth="1"/>
    <col min="12298" max="12298" width="14.109375" style="1" customWidth="1"/>
    <col min="12299" max="12299" width="6.109375" style="1" customWidth="1"/>
    <col min="12300" max="12300" width="13.5546875" style="1" customWidth="1"/>
    <col min="12301" max="12301" width="9.88671875" style="1" customWidth="1"/>
    <col min="12302" max="12302" width="12.5546875" style="1" customWidth="1"/>
    <col min="12303" max="12303" width="5.88671875" style="1" customWidth="1"/>
    <col min="12304" max="12304" width="6.88671875" style="1" customWidth="1"/>
    <col min="12305" max="12305" width="6" style="1" customWidth="1"/>
    <col min="12306" max="12306" width="5.6640625" style="1" customWidth="1"/>
    <col min="12307" max="12307" width="4.109375" style="1" customWidth="1"/>
    <col min="12308" max="12309" width="3.33203125" style="1" customWidth="1"/>
    <col min="12310" max="12310" width="5.44140625" style="1" customWidth="1"/>
    <col min="12311" max="12312" width="3.33203125" style="1" customWidth="1"/>
    <col min="12313" max="12313" width="6.109375" style="1" customWidth="1"/>
    <col min="12314" max="12314" width="4" style="1" customWidth="1"/>
    <col min="12315" max="12315" width="7.6640625" style="1" customWidth="1"/>
    <col min="12316" max="12316" width="7" style="1" customWidth="1"/>
    <col min="12317" max="12546" width="9.109375" style="1"/>
    <col min="12547" max="12547" width="5.109375" style="1" customWidth="1"/>
    <col min="12548" max="12548" width="6.109375" style="1" customWidth="1"/>
    <col min="12549" max="12549" width="9.88671875" style="1" customWidth="1"/>
    <col min="12550" max="12550" width="13.109375" style="1" customWidth="1"/>
    <col min="12551" max="12551" width="9.6640625" style="1" customWidth="1"/>
    <col min="12552" max="12552" width="6.88671875" style="1" customWidth="1"/>
    <col min="12553" max="12553" width="10" style="1" customWidth="1"/>
    <col min="12554" max="12554" width="14.109375" style="1" customWidth="1"/>
    <col min="12555" max="12555" width="6.109375" style="1" customWidth="1"/>
    <col min="12556" max="12556" width="13.5546875" style="1" customWidth="1"/>
    <col min="12557" max="12557" width="9.88671875" style="1" customWidth="1"/>
    <col min="12558" max="12558" width="12.5546875" style="1" customWidth="1"/>
    <col min="12559" max="12559" width="5.88671875" style="1" customWidth="1"/>
    <col min="12560" max="12560" width="6.88671875" style="1" customWidth="1"/>
    <col min="12561" max="12561" width="6" style="1" customWidth="1"/>
    <col min="12562" max="12562" width="5.6640625" style="1" customWidth="1"/>
    <col min="12563" max="12563" width="4.109375" style="1" customWidth="1"/>
    <col min="12564" max="12565" width="3.33203125" style="1" customWidth="1"/>
    <col min="12566" max="12566" width="5.44140625" style="1" customWidth="1"/>
    <col min="12567" max="12568" width="3.33203125" style="1" customWidth="1"/>
    <col min="12569" max="12569" width="6.109375" style="1" customWidth="1"/>
    <col min="12570" max="12570" width="4" style="1" customWidth="1"/>
    <col min="12571" max="12571" width="7.6640625" style="1" customWidth="1"/>
    <col min="12572" max="12572" width="7" style="1" customWidth="1"/>
    <col min="12573" max="12802" width="9.109375" style="1"/>
    <col min="12803" max="12803" width="5.109375" style="1" customWidth="1"/>
    <col min="12804" max="12804" width="6.109375" style="1" customWidth="1"/>
    <col min="12805" max="12805" width="9.88671875" style="1" customWidth="1"/>
    <col min="12806" max="12806" width="13.109375" style="1" customWidth="1"/>
    <col min="12807" max="12807" width="9.6640625" style="1" customWidth="1"/>
    <col min="12808" max="12808" width="6.88671875" style="1" customWidth="1"/>
    <col min="12809" max="12809" width="10" style="1" customWidth="1"/>
    <col min="12810" max="12810" width="14.109375" style="1" customWidth="1"/>
    <col min="12811" max="12811" width="6.109375" style="1" customWidth="1"/>
    <col min="12812" max="12812" width="13.5546875" style="1" customWidth="1"/>
    <col min="12813" max="12813" width="9.88671875" style="1" customWidth="1"/>
    <col min="12814" max="12814" width="12.5546875" style="1" customWidth="1"/>
    <col min="12815" max="12815" width="5.88671875" style="1" customWidth="1"/>
    <col min="12816" max="12816" width="6.88671875" style="1" customWidth="1"/>
    <col min="12817" max="12817" width="6" style="1" customWidth="1"/>
    <col min="12818" max="12818" width="5.6640625" style="1" customWidth="1"/>
    <col min="12819" max="12819" width="4.109375" style="1" customWidth="1"/>
    <col min="12820" max="12821" width="3.33203125" style="1" customWidth="1"/>
    <col min="12822" max="12822" width="5.44140625" style="1" customWidth="1"/>
    <col min="12823" max="12824" width="3.33203125" style="1" customWidth="1"/>
    <col min="12825" max="12825" width="6.109375" style="1" customWidth="1"/>
    <col min="12826" max="12826" width="4" style="1" customWidth="1"/>
    <col min="12827" max="12827" width="7.6640625" style="1" customWidth="1"/>
    <col min="12828" max="12828" width="7" style="1" customWidth="1"/>
    <col min="12829" max="13058" width="9.109375" style="1"/>
    <col min="13059" max="13059" width="5.109375" style="1" customWidth="1"/>
    <col min="13060" max="13060" width="6.109375" style="1" customWidth="1"/>
    <col min="13061" max="13061" width="9.88671875" style="1" customWidth="1"/>
    <col min="13062" max="13062" width="13.109375" style="1" customWidth="1"/>
    <col min="13063" max="13063" width="9.6640625" style="1" customWidth="1"/>
    <col min="13064" max="13064" width="6.88671875" style="1" customWidth="1"/>
    <col min="13065" max="13065" width="10" style="1" customWidth="1"/>
    <col min="13066" max="13066" width="14.109375" style="1" customWidth="1"/>
    <col min="13067" max="13067" width="6.109375" style="1" customWidth="1"/>
    <col min="13068" max="13068" width="13.5546875" style="1" customWidth="1"/>
    <col min="13069" max="13069" width="9.88671875" style="1" customWidth="1"/>
    <col min="13070" max="13070" width="12.5546875" style="1" customWidth="1"/>
    <col min="13071" max="13071" width="5.88671875" style="1" customWidth="1"/>
    <col min="13072" max="13072" width="6.88671875" style="1" customWidth="1"/>
    <col min="13073" max="13073" width="6" style="1" customWidth="1"/>
    <col min="13074" max="13074" width="5.6640625" style="1" customWidth="1"/>
    <col min="13075" max="13075" width="4.109375" style="1" customWidth="1"/>
    <col min="13076" max="13077" width="3.33203125" style="1" customWidth="1"/>
    <col min="13078" max="13078" width="5.44140625" style="1" customWidth="1"/>
    <col min="13079" max="13080" width="3.33203125" style="1" customWidth="1"/>
    <col min="13081" max="13081" width="6.109375" style="1" customWidth="1"/>
    <col min="13082" max="13082" width="4" style="1" customWidth="1"/>
    <col min="13083" max="13083" width="7.6640625" style="1" customWidth="1"/>
    <col min="13084" max="13084" width="7" style="1" customWidth="1"/>
    <col min="13085" max="13314" width="9.109375" style="1"/>
    <col min="13315" max="13315" width="5.109375" style="1" customWidth="1"/>
    <col min="13316" max="13316" width="6.109375" style="1" customWidth="1"/>
    <col min="13317" max="13317" width="9.88671875" style="1" customWidth="1"/>
    <col min="13318" max="13318" width="13.109375" style="1" customWidth="1"/>
    <col min="13319" max="13319" width="9.6640625" style="1" customWidth="1"/>
    <col min="13320" max="13320" width="6.88671875" style="1" customWidth="1"/>
    <col min="13321" max="13321" width="10" style="1" customWidth="1"/>
    <col min="13322" max="13322" width="14.109375" style="1" customWidth="1"/>
    <col min="13323" max="13323" width="6.109375" style="1" customWidth="1"/>
    <col min="13324" max="13324" width="13.5546875" style="1" customWidth="1"/>
    <col min="13325" max="13325" width="9.88671875" style="1" customWidth="1"/>
    <col min="13326" max="13326" width="12.5546875" style="1" customWidth="1"/>
    <col min="13327" max="13327" width="5.88671875" style="1" customWidth="1"/>
    <col min="13328" max="13328" width="6.88671875" style="1" customWidth="1"/>
    <col min="13329" max="13329" width="6" style="1" customWidth="1"/>
    <col min="13330" max="13330" width="5.6640625" style="1" customWidth="1"/>
    <col min="13331" max="13331" width="4.109375" style="1" customWidth="1"/>
    <col min="13332" max="13333" width="3.33203125" style="1" customWidth="1"/>
    <col min="13334" max="13334" width="5.44140625" style="1" customWidth="1"/>
    <col min="13335" max="13336" width="3.33203125" style="1" customWidth="1"/>
    <col min="13337" max="13337" width="6.109375" style="1" customWidth="1"/>
    <col min="13338" max="13338" width="4" style="1" customWidth="1"/>
    <col min="13339" max="13339" width="7.6640625" style="1" customWidth="1"/>
    <col min="13340" max="13340" width="7" style="1" customWidth="1"/>
    <col min="13341" max="13570" width="9.109375" style="1"/>
    <col min="13571" max="13571" width="5.109375" style="1" customWidth="1"/>
    <col min="13572" max="13572" width="6.109375" style="1" customWidth="1"/>
    <col min="13573" max="13573" width="9.88671875" style="1" customWidth="1"/>
    <col min="13574" max="13574" width="13.109375" style="1" customWidth="1"/>
    <col min="13575" max="13575" width="9.6640625" style="1" customWidth="1"/>
    <col min="13576" max="13576" width="6.88671875" style="1" customWidth="1"/>
    <col min="13577" max="13577" width="10" style="1" customWidth="1"/>
    <col min="13578" max="13578" width="14.109375" style="1" customWidth="1"/>
    <col min="13579" max="13579" width="6.109375" style="1" customWidth="1"/>
    <col min="13580" max="13580" width="13.5546875" style="1" customWidth="1"/>
    <col min="13581" max="13581" width="9.88671875" style="1" customWidth="1"/>
    <col min="13582" max="13582" width="12.5546875" style="1" customWidth="1"/>
    <col min="13583" max="13583" width="5.88671875" style="1" customWidth="1"/>
    <col min="13584" max="13584" width="6.88671875" style="1" customWidth="1"/>
    <col min="13585" max="13585" width="6" style="1" customWidth="1"/>
    <col min="13586" max="13586" width="5.6640625" style="1" customWidth="1"/>
    <col min="13587" max="13587" width="4.109375" style="1" customWidth="1"/>
    <col min="13588" max="13589" width="3.33203125" style="1" customWidth="1"/>
    <col min="13590" max="13590" width="5.44140625" style="1" customWidth="1"/>
    <col min="13591" max="13592" width="3.33203125" style="1" customWidth="1"/>
    <col min="13593" max="13593" width="6.109375" style="1" customWidth="1"/>
    <col min="13594" max="13594" width="4" style="1" customWidth="1"/>
    <col min="13595" max="13595" width="7.6640625" style="1" customWidth="1"/>
    <col min="13596" max="13596" width="7" style="1" customWidth="1"/>
    <col min="13597" max="13826" width="9.109375" style="1"/>
    <col min="13827" max="13827" width="5.109375" style="1" customWidth="1"/>
    <col min="13828" max="13828" width="6.109375" style="1" customWidth="1"/>
    <col min="13829" max="13829" width="9.88671875" style="1" customWidth="1"/>
    <col min="13830" max="13830" width="13.109375" style="1" customWidth="1"/>
    <col min="13831" max="13831" width="9.6640625" style="1" customWidth="1"/>
    <col min="13832" max="13832" width="6.88671875" style="1" customWidth="1"/>
    <col min="13833" max="13833" width="10" style="1" customWidth="1"/>
    <col min="13834" max="13834" width="14.109375" style="1" customWidth="1"/>
    <col min="13835" max="13835" width="6.109375" style="1" customWidth="1"/>
    <col min="13836" max="13836" width="13.5546875" style="1" customWidth="1"/>
    <col min="13837" max="13837" width="9.88671875" style="1" customWidth="1"/>
    <col min="13838" max="13838" width="12.5546875" style="1" customWidth="1"/>
    <col min="13839" max="13839" width="5.88671875" style="1" customWidth="1"/>
    <col min="13840" max="13840" width="6.88671875" style="1" customWidth="1"/>
    <col min="13841" max="13841" width="6" style="1" customWidth="1"/>
    <col min="13842" max="13842" width="5.6640625" style="1" customWidth="1"/>
    <col min="13843" max="13843" width="4.109375" style="1" customWidth="1"/>
    <col min="13844" max="13845" width="3.33203125" style="1" customWidth="1"/>
    <col min="13846" max="13846" width="5.44140625" style="1" customWidth="1"/>
    <col min="13847" max="13848" width="3.33203125" style="1" customWidth="1"/>
    <col min="13849" max="13849" width="6.109375" style="1" customWidth="1"/>
    <col min="13850" max="13850" width="4" style="1" customWidth="1"/>
    <col min="13851" max="13851" width="7.6640625" style="1" customWidth="1"/>
    <col min="13852" max="13852" width="7" style="1" customWidth="1"/>
    <col min="13853" max="14082" width="9.109375" style="1"/>
    <col min="14083" max="14083" width="5.109375" style="1" customWidth="1"/>
    <col min="14084" max="14084" width="6.109375" style="1" customWidth="1"/>
    <col min="14085" max="14085" width="9.88671875" style="1" customWidth="1"/>
    <col min="14086" max="14086" width="13.109375" style="1" customWidth="1"/>
    <col min="14087" max="14087" width="9.6640625" style="1" customWidth="1"/>
    <col min="14088" max="14088" width="6.88671875" style="1" customWidth="1"/>
    <col min="14089" max="14089" width="10" style="1" customWidth="1"/>
    <col min="14090" max="14090" width="14.109375" style="1" customWidth="1"/>
    <col min="14091" max="14091" width="6.109375" style="1" customWidth="1"/>
    <col min="14092" max="14092" width="13.5546875" style="1" customWidth="1"/>
    <col min="14093" max="14093" width="9.88671875" style="1" customWidth="1"/>
    <col min="14094" max="14094" width="12.5546875" style="1" customWidth="1"/>
    <col min="14095" max="14095" width="5.88671875" style="1" customWidth="1"/>
    <col min="14096" max="14096" width="6.88671875" style="1" customWidth="1"/>
    <col min="14097" max="14097" width="6" style="1" customWidth="1"/>
    <col min="14098" max="14098" width="5.6640625" style="1" customWidth="1"/>
    <col min="14099" max="14099" width="4.109375" style="1" customWidth="1"/>
    <col min="14100" max="14101" width="3.33203125" style="1" customWidth="1"/>
    <col min="14102" max="14102" width="5.44140625" style="1" customWidth="1"/>
    <col min="14103" max="14104" width="3.33203125" style="1" customWidth="1"/>
    <col min="14105" max="14105" width="6.109375" style="1" customWidth="1"/>
    <col min="14106" max="14106" width="4" style="1" customWidth="1"/>
    <col min="14107" max="14107" width="7.6640625" style="1" customWidth="1"/>
    <col min="14108" max="14108" width="7" style="1" customWidth="1"/>
    <col min="14109" max="14338" width="9.109375" style="1"/>
    <col min="14339" max="14339" width="5.109375" style="1" customWidth="1"/>
    <col min="14340" max="14340" width="6.109375" style="1" customWidth="1"/>
    <col min="14341" max="14341" width="9.88671875" style="1" customWidth="1"/>
    <col min="14342" max="14342" width="13.109375" style="1" customWidth="1"/>
    <col min="14343" max="14343" width="9.6640625" style="1" customWidth="1"/>
    <col min="14344" max="14344" width="6.88671875" style="1" customWidth="1"/>
    <col min="14345" max="14345" width="10" style="1" customWidth="1"/>
    <col min="14346" max="14346" width="14.109375" style="1" customWidth="1"/>
    <col min="14347" max="14347" width="6.109375" style="1" customWidth="1"/>
    <col min="14348" max="14348" width="13.5546875" style="1" customWidth="1"/>
    <col min="14349" max="14349" width="9.88671875" style="1" customWidth="1"/>
    <col min="14350" max="14350" width="12.5546875" style="1" customWidth="1"/>
    <col min="14351" max="14351" width="5.88671875" style="1" customWidth="1"/>
    <col min="14352" max="14352" width="6.88671875" style="1" customWidth="1"/>
    <col min="14353" max="14353" width="6" style="1" customWidth="1"/>
    <col min="14354" max="14354" width="5.6640625" style="1" customWidth="1"/>
    <col min="14355" max="14355" width="4.109375" style="1" customWidth="1"/>
    <col min="14356" max="14357" width="3.33203125" style="1" customWidth="1"/>
    <col min="14358" max="14358" width="5.44140625" style="1" customWidth="1"/>
    <col min="14359" max="14360" width="3.33203125" style="1" customWidth="1"/>
    <col min="14361" max="14361" width="6.109375" style="1" customWidth="1"/>
    <col min="14362" max="14362" width="4" style="1" customWidth="1"/>
    <col min="14363" max="14363" width="7.6640625" style="1" customWidth="1"/>
    <col min="14364" max="14364" width="7" style="1" customWidth="1"/>
    <col min="14365" max="14594" width="9.109375" style="1"/>
    <col min="14595" max="14595" width="5.109375" style="1" customWidth="1"/>
    <col min="14596" max="14596" width="6.109375" style="1" customWidth="1"/>
    <col min="14597" max="14597" width="9.88671875" style="1" customWidth="1"/>
    <col min="14598" max="14598" width="13.109375" style="1" customWidth="1"/>
    <col min="14599" max="14599" width="9.6640625" style="1" customWidth="1"/>
    <col min="14600" max="14600" width="6.88671875" style="1" customWidth="1"/>
    <col min="14601" max="14601" width="10" style="1" customWidth="1"/>
    <col min="14602" max="14602" width="14.109375" style="1" customWidth="1"/>
    <col min="14603" max="14603" width="6.109375" style="1" customWidth="1"/>
    <col min="14604" max="14604" width="13.5546875" style="1" customWidth="1"/>
    <col min="14605" max="14605" width="9.88671875" style="1" customWidth="1"/>
    <col min="14606" max="14606" width="12.5546875" style="1" customWidth="1"/>
    <col min="14607" max="14607" width="5.88671875" style="1" customWidth="1"/>
    <col min="14608" max="14608" width="6.88671875" style="1" customWidth="1"/>
    <col min="14609" max="14609" width="6" style="1" customWidth="1"/>
    <col min="14610" max="14610" width="5.6640625" style="1" customWidth="1"/>
    <col min="14611" max="14611" width="4.109375" style="1" customWidth="1"/>
    <col min="14612" max="14613" width="3.33203125" style="1" customWidth="1"/>
    <col min="14614" max="14614" width="5.44140625" style="1" customWidth="1"/>
    <col min="14615" max="14616" width="3.33203125" style="1" customWidth="1"/>
    <col min="14617" max="14617" width="6.109375" style="1" customWidth="1"/>
    <col min="14618" max="14618" width="4" style="1" customWidth="1"/>
    <col min="14619" max="14619" width="7.6640625" style="1" customWidth="1"/>
    <col min="14620" max="14620" width="7" style="1" customWidth="1"/>
    <col min="14621" max="14850" width="9.109375" style="1"/>
    <col min="14851" max="14851" width="5.109375" style="1" customWidth="1"/>
    <col min="14852" max="14852" width="6.109375" style="1" customWidth="1"/>
    <col min="14853" max="14853" width="9.88671875" style="1" customWidth="1"/>
    <col min="14854" max="14854" width="13.109375" style="1" customWidth="1"/>
    <col min="14855" max="14855" width="9.6640625" style="1" customWidth="1"/>
    <col min="14856" max="14856" width="6.88671875" style="1" customWidth="1"/>
    <col min="14857" max="14857" width="10" style="1" customWidth="1"/>
    <col min="14858" max="14858" width="14.109375" style="1" customWidth="1"/>
    <col min="14859" max="14859" width="6.109375" style="1" customWidth="1"/>
    <col min="14860" max="14860" width="13.5546875" style="1" customWidth="1"/>
    <col min="14861" max="14861" width="9.88671875" style="1" customWidth="1"/>
    <col min="14862" max="14862" width="12.5546875" style="1" customWidth="1"/>
    <col min="14863" max="14863" width="5.88671875" style="1" customWidth="1"/>
    <col min="14864" max="14864" width="6.88671875" style="1" customWidth="1"/>
    <col min="14865" max="14865" width="6" style="1" customWidth="1"/>
    <col min="14866" max="14866" width="5.6640625" style="1" customWidth="1"/>
    <col min="14867" max="14867" width="4.109375" style="1" customWidth="1"/>
    <col min="14868" max="14869" width="3.33203125" style="1" customWidth="1"/>
    <col min="14870" max="14870" width="5.44140625" style="1" customWidth="1"/>
    <col min="14871" max="14872" width="3.33203125" style="1" customWidth="1"/>
    <col min="14873" max="14873" width="6.109375" style="1" customWidth="1"/>
    <col min="14874" max="14874" width="4" style="1" customWidth="1"/>
    <col min="14875" max="14875" width="7.6640625" style="1" customWidth="1"/>
    <col min="14876" max="14876" width="7" style="1" customWidth="1"/>
    <col min="14877" max="15106" width="9.109375" style="1"/>
    <col min="15107" max="15107" width="5.109375" style="1" customWidth="1"/>
    <col min="15108" max="15108" width="6.109375" style="1" customWidth="1"/>
    <col min="15109" max="15109" width="9.88671875" style="1" customWidth="1"/>
    <col min="15110" max="15110" width="13.109375" style="1" customWidth="1"/>
    <col min="15111" max="15111" width="9.6640625" style="1" customWidth="1"/>
    <col min="15112" max="15112" width="6.88671875" style="1" customWidth="1"/>
    <col min="15113" max="15113" width="10" style="1" customWidth="1"/>
    <col min="15114" max="15114" width="14.109375" style="1" customWidth="1"/>
    <col min="15115" max="15115" width="6.109375" style="1" customWidth="1"/>
    <col min="15116" max="15116" width="13.5546875" style="1" customWidth="1"/>
    <col min="15117" max="15117" width="9.88671875" style="1" customWidth="1"/>
    <col min="15118" max="15118" width="12.5546875" style="1" customWidth="1"/>
    <col min="15119" max="15119" width="5.88671875" style="1" customWidth="1"/>
    <col min="15120" max="15120" width="6.88671875" style="1" customWidth="1"/>
    <col min="15121" max="15121" width="6" style="1" customWidth="1"/>
    <col min="15122" max="15122" width="5.6640625" style="1" customWidth="1"/>
    <col min="15123" max="15123" width="4.109375" style="1" customWidth="1"/>
    <col min="15124" max="15125" width="3.33203125" style="1" customWidth="1"/>
    <col min="15126" max="15126" width="5.44140625" style="1" customWidth="1"/>
    <col min="15127" max="15128" width="3.33203125" style="1" customWidth="1"/>
    <col min="15129" max="15129" width="6.109375" style="1" customWidth="1"/>
    <col min="15130" max="15130" width="4" style="1" customWidth="1"/>
    <col min="15131" max="15131" width="7.6640625" style="1" customWidth="1"/>
    <col min="15132" max="15132" width="7" style="1" customWidth="1"/>
    <col min="15133" max="15362" width="9.109375" style="1"/>
    <col min="15363" max="15363" width="5.109375" style="1" customWidth="1"/>
    <col min="15364" max="15364" width="6.109375" style="1" customWidth="1"/>
    <col min="15365" max="15365" width="9.88671875" style="1" customWidth="1"/>
    <col min="15366" max="15366" width="13.109375" style="1" customWidth="1"/>
    <col min="15367" max="15367" width="9.6640625" style="1" customWidth="1"/>
    <col min="15368" max="15368" width="6.88671875" style="1" customWidth="1"/>
    <col min="15369" max="15369" width="10" style="1" customWidth="1"/>
    <col min="15370" max="15370" width="14.109375" style="1" customWidth="1"/>
    <col min="15371" max="15371" width="6.109375" style="1" customWidth="1"/>
    <col min="15372" max="15372" width="13.5546875" style="1" customWidth="1"/>
    <col min="15373" max="15373" width="9.88671875" style="1" customWidth="1"/>
    <col min="15374" max="15374" width="12.5546875" style="1" customWidth="1"/>
    <col min="15375" max="15375" width="5.88671875" style="1" customWidth="1"/>
    <col min="15376" max="15376" width="6.88671875" style="1" customWidth="1"/>
    <col min="15377" max="15377" width="6" style="1" customWidth="1"/>
    <col min="15378" max="15378" width="5.6640625" style="1" customWidth="1"/>
    <col min="15379" max="15379" width="4.109375" style="1" customWidth="1"/>
    <col min="15380" max="15381" width="3.33203125" style="1" customWidth="1"/>
    <col min="15382" max="15382" width="5.44140625" style="1" customWidth="1"/>
    <col min="15383" max="15384" width="3.33203125" style="1" customWidth="1"/>
    <col min="15385" max="15385" width="6.109375" style="1" customWidth="1"/>
    <col min="15386" max="15386" width="4" style="1" customWidth="1"/>
    <col min="15387" max="15387" width="7.6640625" style="1" customWidth="1"/>
    <col min="15388" max="15388" width="7" style="1" customWidth="1"/>
    <col min="15389" max="15618" width="9.109375" style="1"/>
    <col min="15619" max="15619" width="5.109375" style="1" customWidth="1"/>
    <col min="15620" max="15620" width="6.109375" style="1" customWidth="1"/>
    <col min="15621" max="15621" width="9.88671875" style="1" customWidth="1"/>
    <col min="15622" max="15622" width="13.109375" style="1" customWidth="1"/>
    <col min="15623" max="15623" width="9.6640625" style="1" customWidth="1"/>
    <col min="15624" max="15624" width="6.88671875" style="1" customWidth="1"/>
    <col min="15625" max="15625" width="10" style="1" customWidth="1"/>
    <col min="15626" max="15626" width="14.109375" style="1" customWidth="1"/>
    <col min="15627" max="15627" width="6.109375" style="1" customWidth="1"/>
    <col min="15628" max="15628" width="13.5546875" style="1" customWidth="1"/>
    <col min="15629" max="15629" width="9.88671875" style="1" customWidth="1"/>
    <col min="15630" max="15630" width="12.5546875" style="1" customWidth="1"/>
    <col min="15631" max="15631" width="5.88671875" style="1" customWidth="1"/>
    <col min="15632" max="15632" width="6.88671875" style="1" customWidth="1"/>
    <col min="15633" max="15633" width="6" style="1" customWidth="1"/>
    <col min="15634" max="15634" width="5.6640625" style="1" customWidth="1"/>
    <col min="15635" max="15635" width="4.109375" style="1" customWidth="1"/>
    <col min="15636" max="15637" width="3.33203125" style="1" customWidth="1"/>
    <col min="15638" max="15638" width="5.44140625" style="1" customWidth="1"/>
    <col min="15639" max="15640" width="3.33203125" style="1" customWidth="1"/>
    <col min="15641" max="15641" width="6.109375" style="1" customWidth="1"/>
    <col min="15642" max="15642" width="4" style="1" customWidth="1"/>
    <col min="15643" max="15643" width="7.6640625" style="1" customWidth="1"/>
    <col min="15644" max="15644" width="7" style="1" customWidth="1"/>
    <col min="15645" max="15874" width="9.109375" style="1"/>
    <col min="15875" max="15875" width="5.109375" style="1" customWidth="1"/>
    <col min="15876" max="15876" width="6.109375" style="1" customWidth="1"/>
    <col min="15877" max="15877" width="9.88671875" style="1" customWidth="1"/>
    <col min="15878" max="15878" width="13.109375" style="1" customWidth="1"/>
    <col min="15879" max="15879" width="9.6640625" style="1" customWidth="1"/>
    <col min="15880" max="15880" width="6.88671875" style="1" customWidth="1"/>
    <col min="15881" max="15881" width="10" style="1" customWidth="1"/>
    <col min="15882" max="15882" width="14.109375" style="1" customWidth="1"/>
    <col min="15883" max="15883" width="6.109375" style="1" customWidth="1"/>
    <col min="15884" max="15884" width="13.5546875" style="1" customWidth="1"/>
    <col min="15885" max="15885" width="9.88671875" style="1" customWidth="1"/>
    <col min="15886" max="15886" width="12.5546875" style="1" customWidth="1"/>
    <col min="15887" max="15887" width="5.88671875" style="1" customWidth="1"/>
    <col min="15888" max="15888" width="6.88671875" style="1" customWidth="1"/>
    <col min="15889" max="15889" width="6" style="1" customWidth="1"/>
    <col min="15890" max="15890" width="5.6640625" style="1" customWidth="1"/>
    <col min="15891" max="15891" width="4.109375" style="1" customWidth="1"/>
    <col min="15892" max="15893" width="3.33203125" style="1" customWidth="1"/>
    <col min="15894" max="15894" width="5.44140625" style="1" customWidth="1"/>
    <col min="15895" max="15896" width="3.33203125" style="1" customWidth="1"/>
    <col min="15897" max="15897" width="6.109375" style="1" customWidth="1"/>
    <col min="15898" max="15898" width="4" style="1" customWidth="1"/>
    <col min="15899" max="15899" width="7.6640625" style="1" customWidth="1"/>
    <col min="15900" max="15900" width="7" style="1" customWidth="1"/>
    <col min="15901" max="16130" width="9.109375" style="1"/>
    <col min="16131" max="16131" width="5.109375" style="1" customWidth="1"/>
    <col min="16132" max="16132" width="6.109375" style="1" customWidth="1"/>
    <col min="16133" max="16133" width="9.88671875" style="1" customWidth="1"/>
    <col min="16134" max="16134" width="13.109375" style="1" customWidth="1"/>
    <col min="16135" max="16135" width="9.6640625" style="1" customWidth="1"/>
    <col min="16136" max="16136" width="6.88671875" style="1" customWidth="1"/>
    <col min="16137" max="16137" width="10" style="1" customWidth="1"/>
    <col min="16138" max="16138" width="14.109375" style="1" customWidth="1"/>
    <col min="16139" max="16139" width="6.109375" style="1" customWidth="1"/>
    <col min="16140" max="16140" width="13.5546875" style="1" customWidth="1"/>
    <col min="16141" max="16141" width="9.88671875" style="1" customWidth="1"/>
    <col min="16142" max="16142" width="12.5546875" style="1" customWidth="1"/>
    <col min="16143" max="16143" width="5.88671875" style="1" customWidth="1"/>
    <col min="16144" max="16144" width="6.88671875" style="1" customWidth="1"/>
    <col min="16145" max="16145" width="6" style="1" customWidth="1"/>
    <col min="16146" max="16146" width="5.6640625" style="1" customWidth="1"/>
    <col min="16147" max="16147" width="4.109375" style="1" customWidth="1"/>
    <col min="16148" max="16149" width="3.33203125" style="1" customWidth="1"/>
    <col min="16150" max="16150" width="5.44140625" style="1" customWidth="1"/>
    <col min="16151" max="16152" width="3.33203125" style="1" customWidth="1"/>
    <col min="16153" max="16153" width="6.109375" style="1" customWidth="1"/>
    <col min="16154" max="16154" width="4" style="1" customWidth="1"/>
    <col min="16155" max="16155" width="7.6640625" style="1" customWidth="1"/>
    <col min="16156" max="16156" width="7" style="1" customWidth="1"/>
    <col min="16157" max="16384" width="9.109375" style="1"/>
  </cols>
  <sheetData>
    <row r="1" spans="1:36" ht="124.5" customHeight="1" thickBot="1" x14ac:dyDescent="0.3">
      <c r="A1" s="79" t="s">
        <v>484</v>
      </c>
      <c r="B1" s="138" t="s">
        <v>25</v>
      </c>
      <c r="C1" s="139" t="s">
        <v>26</v>
      </c>
      <c r="D1" s="139" t="s">
        <v>231</v>
      </c>
      <c r="E1" s="140" t="s">
        <v>485</v>
      </c>
      <c r="F1" s="139" t="s">
        <v>61</v>
      </c>
      <c r="G1" s="141" t="s">
        <v>466</v>
      </c>
      <c r="H1" s="139" t="s">
        <v>235</v>
      </c>
      <c r="I1" s="141" t="s">
        <v>486</v>
      </c>
      <c r="J1" s="141" t="s">
        <v>237</v>
      </c>
      <c r="K1" s="141" t="s">
        <v>487</v>
      </c>
      <c r="L1" s="141" t="s">
        <v>488</v>
      </c>
      <c r="M1" s="141" t="s">
        <v>489</v>
      </c>
      <c r="N1" s="142" t="s">
        <v>490</v>
      </c>
      <c r="O1" s="142" t="s">
        <v>491</v>
      </c>
      <c r="P1" s="142" t="s">
        <v>492</v>
      </c>
      <c r="Q1" s="142" t="s">
        <v>493</v>
      </c>
      <c r="R1" s="142" t="s">
        <v>494</v>
      </c>
      <c r="S1" s="142" t="s">
        <v>495</v>
      </c>
      <c r="T1" s="142" t="s">
        <v>496</v>
      </c>
      <c r="U1" s="142" t="s">
        <v>497</v>
      </c>
      <c r="V1" s="142" t="s">
        <v>498</v>
      </c>
      <c r="W1" s="142" t="s">
        <v>499</v>
      </c>
      <c r="X1" s="142" t="s">
        <v>500</v>
      </c>
      <c r="Y1" s="142" t="s">
        <v>501</v>
      </c>
      <c r="Z1" s="142" t="s">
        <v>502</v>
      </c>
      <c r="AA1" s="142" t="s">
        <v>503</v>
      </c>
      <c r="AB1" s="249" t="s">
        <v>91</v>
      </c>
      <c r="AC1" s="494" t="s">
        <v>504</v>
      </c>
      <c r="AD1" s="495"/>
      <c r="AE1" s="495"/>
      <c r="AF1" s="495"/>
      <c r="AG1" s="495"/>
      <c r="AH1" s="495"/>
      <c r="AI1" s="495"/>
      <c r="AJ1" s="496"/>
    </row>
    <row r="2" spans="1:36" s="230" customFormat="1" x14ac:dyDescent="0.25">
      <c r="A2" s="228"/>
      <c r="B2" s="130"/>
      <c r="C2" s="130">
        <v>147</v>
      </c>
      <c r="D2" s="130" t="s">
        <v>92</v>
      </c>
      <c r="E2" s="130" t="s">
        <v>145</v>
      </c>
      <c r="F2" s="130" t="s">
        <v>505</v>
      </c>
      <c r="G2" s="130" t="s">
        <v>258</v>
      </c>
      <c r="H2" s="130" t="s">
        <v>145</v>
      </c>
      <c r="I2" s="129">
        <v>21438</v>
      </c>
      <c r="J2" s="229">
        <f t="shared" ref="J2:J49" ca="1" si="0">INT((TODAY()-I2)/365.25)</f>
        <v>66</v>
      </c>
      <c r="K2" s="228"/>
      <c r="L2" s="130">
        <v>3</v>
      </c>
      <c r="M2" s="130">
        <v>2</v>
      </c>
      <c r="N2" s="130"/>
      <c r="O2" s="130"/>
      <c r="P2" s="130">
        <v>10.3</v>
      </c>
      <c r="Q2" s="130"/>
      <c r="R2" s="130"/>
      <c r="S2" s="130"/>
      <c r="T2" s="130"/>
      <c r="U2" s="130"/>
      <c r="V2" s="130"/>
      <c r="W2" s="130"/>
      <c r="X2" s="130"/>
      <c r="Y2" s="130"/>
      <c r="Z2" s="130"/>
      <c r="AA2" s="130"/>
      <c r="AB2" s="250" t="s">
        <v>506</v>
      </c>
    </row>
    <row r="3" spans="1:36" s="230" customFormat="1" x14ac:dyDescent="0.25">
      <c r="A3" s="231"/>
      <c r="B3" s="233"/>
      <c r="C3" s="233">
        <v>5491</v>
      </c>
      <c r="D3" s="130" t="s">
        <v>92</v>
      </c>
      <c r="E3" s="130" t="s">
        <v>145</v>
      </c>
      <c r="F3" s="233" t="s">
        <v>507</v>
      </c>
      <c r="G3" s="233" t="s">
        <v>254</v>
      </c>
      <c r="H3" s="130" t="s">
        <v>145</v>
      </c>
      <c r="I3" s="247">
        <v>30421</v>
      </c>
      <c r="J3" s="229">
        <f t="shared" ca="1" si="0"/>
        <v>42</v>
      </c>
      <c r="K3" s="231"/>
      <c r="L3" s="233">
        <v>2</v>
      </c>
      <c r="M3" s="233">
        <v>1</v>
      </c>
      <c r="N3" s="233"/>
      <c r="O3" s="233"/>
      <c r="P3" s="233">
        <v>11.2</v>
      </c>
      <c r="Q3" s="233"/>
      <c r="R3" s="233"/>
      <c r="S3" s="233"/>
      <c r="T3" s="233"/>
      <c r="U3" s="233"/>
      <c r="V3" s="233"/>
      <c r="W3" s="233"/>
      <c r="X3" s="233"/>
      <c r="Y3" s="233"/>
      <c r="Z3" s="233"/>
      <c r="AA3" s="233"/>
      <c r="AB3" s="251" t="s">
        <v>508</v>
      </c>
    </row>
    <row r="4" spans="1:36" x14ac:dyDescent="0.25">
      <c r="A4" s="231"/>
      <c r="B4" s="233"/>
      <c r="C4" s="259">
        <v>60</v>
      </c>
      <c r="D4" s="260" t="s">
        <v>92</v>
      </c>
      <c r="E4" s="259" t="s">
        <v>136</v>
      </c>
      <c r="F4" s="259" t="s">
        <v>509</v>
      </c>
      <c r="G4" s="259" t="s">
        <v>254</v>
      </c>
      <c r="H4" s="233" t="s">
        <v>101</v>
      </c>
      <c r="I4" s="247">
        <v>16817</v>
      </c>
      <c r="J4" s="229">
        <f t="shared" ca="1" si="0"/>
        <v>79</v>
      </c>
      <c r="K4" s="231"/>
      <c r="L4" s="233">
        <v>2</v>
      </c>
      <c r="M4" s="233">
        <v>2</v>
      </c>
      <c r="N4" s="233"/>
      <c r="O4" s="233">
        <v>102</v>
      </c>
      <c r="P4" s="233">
        <v>7.2</v>
      </c>
      <c r="Q4" s="233"/>
      <c r="R4" s="233"/>
      <c r="S4" s="233"/>
      <c r="T4" s="233"/>
      <c r="U4" s="233">
        <v>0.89</v>
      </c>
      <c r="V4" s="233"/>
      <c r="W4" s="233"/>
      <c r="X4" s="233"/>
      <c r="Y4" s="233"/>
      <c r="Z4" s="233"/>
      <c r="AA4" s="233"/>
      <c r="AB4" s="251" t="s">
        <v>510</v>
      </c>
      <c r="AC4" s="230"/>
      <c r="AD4" s="230"/>
      <c r="AE4" s="230"/>
      <c r="AF4" s="230"/>
      <c r="AG4" s="230"/>
      <c r="AH4" s="230"/>
      <c r="AI4" s="230"/>
      <c r="AJ4" s="230"/>
    </row>
    <row r="5" spans="1:36" x14ac:dyDescent="0.25">
      <c r="A5" s="231"/>
      <c r="B5" s="233"/>
      <c r="C5" s="259">
        <v>525</v>
      </c>
      <c r="D5" s="260" t="s">
        <v>92</v>
      </c>
      <c r="E5" s="313" t="s">
        <v>511</v>
      </c>
      <c r="F5" s="259" t="s">
        <v>337</v>
      </c>
      <c r="G5" s="259" t="s">
        <v>254</v>
      </c>
      <c r="H5" s="259" t="s">
        <v>101</v>
      </c>
      <c r="I5" s="261">
        <v>24668</v>
      </c>
      <c r="J5" s="229">
        <f t="shared" ca="1" si="0"/>
        <v>57</v>
      </c>
      <c r="K5" s="40"/>
      <c r="L5" s="305">
        <v>2</v>
      </c>
      <c r="M5" s="305">
        <v>3</v>
      </c>
      <c r="N5" s="305"/>
      <c r="O5" s="305"/>
      <c r="P5" s="305"/>
      <c r="Q5" s="305"/>
      <c r="R5" s="305"/>
      <c r="S5" s="305"/>
      <c r="T5" s="305"/>
      <c r="U5" s="305"/>
      <c r="V5" s="305"/>
      <c r="W5" s="305"/>
      <c r="X5" s="305"/>
      <c r="Y5" s="233"/>
      <c r="Z5" s="233"/>
      <c r="AA5" s="233"/>
      <c r="AB5" s="314" t="s">
        <v>512</v>
      </c>
      <c r="AC5" s="230"/>
      <c r="AD5" s="230"/>
      <c r="AE5" s="230"/>
      <c r="AF5" s="230"/>
      <c r="AG5" s="230"/>
      <c r="AH5" s="230"/>
      <c r="AI5" s="230"/>
      <c r="AJ5" s="230"/>
    </row>
    <row r="6" spans="1:36" x14ac:dyDescent="0.25">
      <c r="A6" s="231"/>
      <c r="B6" s="233"/>
      <c r="C6" s="233"/>
      <c r="D6" s="233"/>
      <c r="E6" s="233"/>
      <c r="F6" s="233"/>
      <c r="G6" s="233"/>
      <c r="H6" s="233"/>
      <c r="I6" s="233"/>
      <c r="J6" s="229">
        <f t="shared" ca="1" si="0"/>
        <v>125</v>
      </c>
      <c r="K6" s="231"/>
      <c r="L6" s="233"/>
      <c r="M6" s="233"/>
      <c r="N6" s="233"/>
      <c r="O6" s="233"/>
      <c r="P6" s="233"/>
      <c r="Q6" s="233"/>
      <c r="R6" s="233"/>
      <c r="S6" s="233"/>
      <c r="T6" s="233"/>
      <c r="U6" s="233"/>
      <c r="V6" s="233"/>
      <c r="W6" s="233"/>
      <c r="X6" s="233"/>
      <c r="Y6" s="233"/>
      <c r="Z6" s="233"/>
      <c r="AA6" s="233"/>
      <c r="AB6" s="251"/>
      <c r="AC6" s="230"/>
      <c r="AD6" s="230"/>
      <c r="AE6" s="230"/>
      <c r="AF6" s="230"/>
      <c r="AG6" s="230"/>
      <c r="AH6" s="230"/>
      <c r="AI6" s="230"/>
      <c r="AJ6" s="230"/>
    </row>
    <row r="7" spans="1:36" x14ac:dyDescent="0.25">
      <c r="A7" s="231"/>
      <c r="B7" s="233"/>
      <c r="C7" s="233"/>
      <c r="D7" s="233"/>
      <c r="E7" s="233"/>
      <c r="F7" s="233"/>
      <c r="G7" s="233"/>
      <c r="H7" s="233"/>
      <c r="I7" s="233"/>
      <c r="J7" s="229">
        <f t="shared" ca="1" si="0"/>
        <v>125</v>
      </c>
      <c r="K7" s="231"/>
      <c r="L7" s="233"/>
      <c r="M7" s="233"/>
      <c r="N7" s="233"/>
      <c r="O7" s="233"/>
      <c r="P7" s="233"/>
      <c r="Q7" s="233"/>
      <c r="R7" s="233"/>
      <c r="S7" s="233"/>
      <c r="T7" s="233"/>
      <c r="U7" s="233"/>
      <c r="V7" s="233"/>
      <c r="W7" s="233"/>
      <c r="X7" s="233"/>
      <c r="Y7" s="233"/>
      <c r="Z7" s="233"/>
      <c r="AA7" s="233"/>
      <c r="AB7" s="251"/>
      <c r="AC7" s="230"/>
      <c r="AD7" s="230"/>
      <c r="AE7" s="230"/>
      <c r="AF7" s="230"/>
      <c r="AG7" s="230"/>
      <c r="AH7" s="230"/>
      <c r="AI7" s="230"/>
      <c r="AJ7" s="230"/>
    </row>
    <row r="8" spans="1:36" x14ac:dyDescent="0.25">
      <c r="A8" s="231"/>
      <c r="B8" s="233"/>
      <c r="C8" s="233"/>
      <c r="D8" s="233"/>
      <c r="E8" s="233"/>
      <c r="F8" s="233"/>
      <c r="G8" s="233"/>
      <c r="H8" s="233"/>
      <c r="I8" s="233"/>
      <c r="J8" s="229">
        <f t="shared" ca="1" si="0"/>
        <v>125</v>
      </c>
      <c r="K8" s="231"/>
      <c r="L8" s="233"/>
      <c r="M8" s="233"/>
      <c r="N8" s="233"/>
      <c r="O8" s="233"/>
      <c r="P8" s="233"/>
      <c r="Q8" s="233"/>
      <c r="R8" s="233"/>
      <c r="S8" s="233"/>
      <c r="T8" s="233"/>
      <c r="U8" s="233"/>
      <c r="V8" s="233"/>
      <c r="W8" s="233"/>
      <c r="X8" s="233"/>
      <c r="Y8" s="233"/>
      <c r="Z8" s="233"/>
      <c r="AA8" s="233"/>
      <c r="AB8" s="251"/>
      <c r="AC8" s="230"/>
      <c r="AD8" s="230"/>
      <c r="AE8" s="230"/>
      <c r="AF8" s="230"/>
      <c r="AG8" s="230"/>
      <c r="AH8" s="230"/>
      <c r="AI8" s="230"/>
      <c r="AJ8" s="230"/>
    </row>
    <row r="9" spans="1:36" x14ac:dyDescent="0.25">
      <c r="A9" s="231"/>
      <c r="B9" s="233"/>
      <c r="C9" s="233"/>
      <c r="D9" s="233"/>
      <c r="E9" s="233"/>
      <c r="F9" s="233"/>
      <c r="G9" s="233"/>
      <c r="H9" s="233"/>
      <c r="I9" s="233"/>
      <c r="J9" s="229">
        <f t="shared" ca="1" si="0"/>
        <v>125</v>
      </c>
      <c r="K9" s="231"/>
      <c r="L9" s="233"/>
      <c r="M9" s="233"/>
      <c r="N9" s="233"/>
      <c r="O9" s="233"/>
      <c r="P9" s="233"/>
      <c r="Q9" s="233"/>
      <c r="R9" s="233"/>
      <c r="S9" s="233"/>
      <c r="T9" s="233"/>
      <c r="U9" s="233"/>
      <c r="V9" s="233"/>
      <c r="W9" s="233"/>
      <c r="X9" s="233"/>
      <c r="Y9" s="233"/>
      <c r="Z9" s="233"/>
      <c r="AA9" s="233"/>
      <c r="AB9" s="251"/>
      <c r="AC9" s="230"/>
      <c r="AD9" s="230"/>
      <c r="AE9" s="230"/>
      <c r="AF9" s="230"/>
      <c r="AG9" s="230"/>
      <c r="AH9" s="230"/>
      <c r="AI9" s="230"/>
      <c r="AJ9" s="230"/>
    </row>
    <row r="10" spans="1:36" x14ac:dyDescent="0.25">
      <c r="A10" s="231"/>
      <c r="B10" s="233"/>
      <c r="C10" s="233"/>
      <c r="D10" s="233"/>
      <c r="E10" s="233"/>
      <c r="F10" s="233"/>
      <c r="G10" s="233"/>
      <c r="H10" s="233"/>
      <c r="I10" s="233"/>
      <c r="J10" s="229">
        <f t="shared" ca="1" si="0"/>
        <v>125</v>
      </c>
      <c r="K10" s="231"/>
      <c r="L10" s="233"/>
      <c r="M10" s="233"/>
      <c r="N10" s="233"/>
      <c r="O10" s="233"/>
      <c r="P10" s="233"/>
      <c r="Q10" s="233"/>
      <c r="R10" s="233"/>
      <c r="S10" s="233"/>
      <c r="T10" s="233"/>
      <c r="U10" s="233"/>
      <c r="V10" s="233"/>
      <c r="W10" s="233"/>
      <c r="X10" s="233"/>
      <c r="Y10" s="233"/>
      <c r="Z10" s="233"/>
      <c r="AA10" s="233"/>
      <c r="AB10" s="251"/>
      <c r="AC10" s="230"/>
      <c r="AD10" s="230"/>
      <c r="AE10" s="230"/>
      <c r="AF10" s="230"/>
      <c r="AG10" s="230"/>
      <c r="AH10" s="230"/>
      <c r="AI10" s="230"/>
      <c r="AJ10" s="230"/>
    </row>
    <row r="11" spans="1:36" x14ac:dyDescent="0.25">
      <c r="A11" s="231"/>
      <c r="B11" s="233"/>
      <c r="C11" s="233"/>
      <c r="D11" s="233"/>
      <c r="E11" s="233"/>
      <c r="F11" s="233"/>
      <c r="G11" s="233"/>
      <c r="H11" s="233"/>
      <c r="I11" s="233"/>
      <c r="J11" s="229">
        <f t="shared" ca="1" si="0"/>
        <v>125</v>
      </c>
      <c r="K11" s="231"/>
      <c r="L11" s="233"/>
      <c r="M11" s="233"/>
      <c r="N11" s="233"/>
      <c r="O11" s="233"/>
      <c r="P11" s="233"/>
      <c r="Q11" s="233"/>
      <c r="R11" s="233"/>
      <c r="S11" s="233"/>
      <c r="T11" s="233"/>
      <c r="U11" s="233"/>
      <c r="V11" s="233"/>
      <c r="W11" s="233"/>
      <c r="X11" s="233"/>
      <c r="Y11" s="233"/>
      <c r="Z11" s="233"/>
      <c r="AA11" s="233"/>
      <c r="AB11" s="251"/>
      <c r="AC11" s="230"/>
      <c r="AD11" s="230"/>
      <c r="AE11" s="230"/>
      <c r="AF11" s="230"/>
      <c r="AG11" s="230"/>
      <c r="AH11" s="230"/>
      <c r="AI11" s="230"/>
      <c r="AJ11" s="230"/>
    </row>
    <row r="12" spans="1:36" x14ac:dyDescent="0.25">
      <c r="A12" s="231"/>
      <c r="B12" s="233"/>
      <c r="C12" s="233"/>
      <c r="D12" s="233"/>
      <c r="E12" s="233"/>
      <c r="F12" s="233"/>
      <c r="G12" s="233"/>
      <c r="H12" s="233"/>
      <c r="I12" s="233"/>
      <c r="J12" s="229">
        <f t="shared" ca="1" si="0"/>
        <v>125</v>
      </c>
      <c r="K12" s="231"/>
      <c r="L12" s="233"/>
      <c r="M12" s="233"/>
      <c r="N12" s="233"/>
      <c r="O12" s="233"/>
      <c r="P12" s="233"/>
      <c r="Q12" s="233"/>
      <c r="R12" s="233"/>
      <c r="S12" s="233"/>
      <c r="T12" s="233"/>
      <c r="U12" s="233"/>
      <c r="V12" s="233"/>
      <c r="W12" s="233"/>
      <c r="X12" s="233"/>
      <c r="Y12" s="233"/>
      <c r="Z12" s="233"/>
      <c r="AA12" s="233"/>
      <c r="AB12" s="251"/>
      <c r="AC12" s="230"/>
      <c r="AD12" s="230"/>
      <c r="AE12" s="230"/>
      <c r="AF12" s="230"/>
      <c r="AG12" s="230"/>
      <c r="AH12" s="230"/>
      <c r="AI12" s="230"/>
      <c r="AJ12" s="230"/>
    </row>
    <row r="13" spans="1:36" x14ac:dyDescent="0.25">
      <c r="A13" s="231"/>
      <c r="B13" s="233"/>
      <c r="C13" s="233"/>
      <c r="D13" s="233"/>
      <c r="E13" s="233"/>
      <c r="F13" s="233"/>
      <c r="G13" s="233"/>
      <c r="H13" s="233"/>
      <c r="I13" s="233"/>
      <c r="J13" s="229">
        <f t="shared" ca="1" si="0"/>
        <v>125</v>
      </c>
      <c r="K13" s="231"/>
      <c r="L13" s="233"/>
      <c r="M13" s="233"/>
      <c r="N13" s="233"/>
      <c r="O13" s="233"/>
      <c r="P13" s="233"/>
      <c r="Q13" s="233"/>
      <c r="R13" s="233"/>
      <c r="S13" s="233"/>
      <c r="T13" s="233"/>
      <c r="U13" s="233"/>
      <c r="V13" s="233"/>
      <c r="W13" s="233"/>
      <c r="X13" s="233"/>
      <c r="Y13" s="233"/>
      <c r="Z13" s="233"/>
      <c r="AA13" s="233"/>
      <c r="AB13" s="251"/>
      <c r="AC13" s="230"/>
      <c r="AD13" s="230"/>
      <c r="AE13" s="230"/>
      <c r="AF13" s="230"/>
      <c r="AG13" s="230"/>
      <c r="AH13" s="230"/>
      <c r="AI13" s="230"/>
      <c r="AJ13" s="230"/>
    </row>
    <row r="14" spans="1:36" x14ac:dyDescent="0.25">
      <c r="A14" s="231"/>
      <c r="B14" s="233"/>
      <c r="C14" s="233"/>
      <c r="D14" s="233"/>
      <c r="E14" s="233"/>
      <c r="F14" s="233"/>
      <c r="G14" s="233"/>
      <c r="H14" s="233"/>
      <c r="I14" s="233"/>
      <c r="J14" s="229">
        <f t="shared" ca="1" si="0"/>
        <v>125</v>
      </c>
      <c r="K14" s="231"/>
      <c r="L14" s="233"/>
      <c r="M14" s="233"/>
      <c r="N14" s="233"/>
      <c r="O14" s="233"/>
      <c r="P14" s="233"/>
      <c r="Q14" s="233"/>
      <c r="R14" s="233"/>
      <c r="S14" s="233"/>
      <c r="T14" s="233"/>
      <c r="U14" s="233"/>
      <c r="V14" s="233"/>
      <c r="W14" s="233"/>
      <c r="X14" s="233"/>
      <c r="Y14" s="233"/>
      <c r="Z14" s="233"/>
      <c r="AA14" s="233"/>
      <c r="AB14" s="251"/>
      <c r="AC14" s="230"/>
      <c r="AD14" s="230"/>
      <c r="AE14" s="230"/>
      <c r="AF14" s="230"/>
      <c r="AG14" s="230"/>
      <c r="AH14" s="230"/>
      <c r="AI14" s="230"/>
      <c r="AJ14" s="230"/>
    </row>
    <row r="15" spans="1:36" x14ac:dyDescent="0.25">
      <c r="A15" s="231"/>
      <c r="B15" s="233"/>
      <c r="C15" s="233"/>
      <c r="D15" s="233"/>
      <c r="E15" s="233"/>
      <c r="F15" s="233"/>
      <c r="G15" s="233"/>
      <c r="H15" s="233"/>
      <c r="I15" s="233"/>
      <c r="J15" s="229">
        <f t="shared" ca="1" si="0"/>
        <v>125</v>
      </c>
      <c r="K15" s="231"/>
      <c r="L15" s="233"/>
      <c r="M15" s="233"/>
      <c r="N15" s="233"/>
      <c r="O15" s="233"/>
      <c r="P15" s="233"/>
      <c r="Q15" s="233"/>
      <c r="R15" s="233"/>
      <c r="S15" s="233"/>
      <c r="T15" s="233"/>
      <c r="U15" s="233"/>
      <c r="V15" s="233"/>
      <c r="W15" s="233"/>
      <c r="X15" s="233"/>
      <c r="Y15" s="233"/>
      <c r="Z15" s="233"/>
      <c r="AA15" s="233"/>
      <c r="AB15" s="251"/>
      <c r="AC15" s="230"/>
      <c r="AD15" s="230"/>
      <c r="AE15" s="230"/>
      <c r="AF15" s="230"/>
      <c r="AG15" s="230"/>
      <c r="AH15" s="230"/>
      <c r="AI15" s="230"/>
      <c r="AJ15" s="230"/>
    </row>
    <row r="16" spans="1:36" x14ac:dyDescent="0.25">
      <c r="A16" s="231"/>
      <c r="B16" s="233"/>
      <c r="C16" s="233"/>
      <c r="D16" s="233"/>
      <c r="E16" s="233"/>
      <c r="F16" s="233"/>
      <c r="G16" s="233"/>
      <c r="H16" s="233"/>
      <c r="I16" s="233"/>
      <c r="J16" s="229">
        <f t="shared" ca="1" si="0"/>
        <v>125</v>
      </c>
      <c r="K16" s="231"/>
      <c r="L16" s="233"/>
      <c r="M16" s="233"/>
      <c r="N16" s="233"/>
      <c r="O16" s="233"/>
      <c r="P16" s="233"/>
      <c r="Q16" s="233"/>
      <c r="R16" s="233"/>
      <c r="S16" s="233"/>
      <c r="T16" s="233"/>
      <c r="U16" s="233"/>
      <c r="V16" s="233"/>
      <c r="W16" s="233"/>
      <c r="X16" s="233"/>
      <c r="Y16" s="233"/>
      <c r="Z16" s="233"/>
      <c r="AA16" s="233"/>
      <c r="AB16" s="251"/>
      <c r="AC16" s="230"/>
      <c r="AD16" s="230"/>
      <c r="AE16" s="230"/>
      <c r="AF16" s="230"/>
      <c r="AG16" s="230"/>
      <c r="AH16" s="230"/>
      <c r="AI16" s="230"/>
      <c r="AJ16" s="230"/>
    </row>
    <row r="17" spans="1:28" x14ac:dyDescent="0.25">
      <c r="A17" s="231"/>
      <c r="B17" s="233"/>
      <c r="C17" s="233"/>
      <c r="D17" s="233"/>
      <c r="E17" s="233"/>
      <c r="F17" s="233"/>
      <c r="G17" s="233"/>
      <c r="H17" s="233"/>
      <c r="I17" s="233"/>
      <c r="J17" s="229">
        <f t="shared" ca="1" si="0"/>
        <v>125</v>
      </c>
      <c r="K17" s="231"/>
      <c r="L17" s="233"/>
      <c r="M17" s="233"/>
      <c r="N17" s="233"/>
      <c r="O17" s="233"/>
      <c r="P17" s="233"/>
      <c r="Q17" s="233"/>
      <c r="R17" s="233"/>
      <c r="S17" s="233"/>
      <c r="T17" s="233"/>
      <c r="U17" s="233"/>
      <c r="V17" s="233"/>
      <c r="W17" s="233"/>
      <c r="X17" s="233"/>
      <c r="Y17" s="233"/>
      <c r="Z17" s="233"/>
      <c r="AA17" s="233"/>
      <c r="AB17" s="251"/>
    </row>
    <row r="18" spans="1:28" x14ac:dyDescent="0.25">
      <c r="A18" s="231"/>
      <c r="B18" s="233"/>
      <c r="C18" s="233"/>
      <c r="D18" s="233"/>
      <c r="E18" s="233"/>
      <c r="F18" s="233"/>
      <c r="G18" s="233"/>
      <c r="H18" s="233"/>
      <c r="I18" s="233"/>
      <c r="J18" s="229">
        <f t="shared" ca="1" si="0"/>
        <v>125</v>
      </c>
      <c r="K18" s="231"/>
      <c r="L18" s="233"/>
      <c r="M18" s="233"/>
      <c r="N18" s="233"/>
      <c r="O18" s="233"/>
      <c r="P18" s="233"/>
      <c r="Q18" s="233"/>
      <c r="R18" s="233"/>
      <c r="S18" s="233"/>
      <c r="T18" s="233"/>
      <c r="U18" s="233"/>
      <c r="V18" s="233"/>
      <c r="W18" s="233"/>
      <c r="X18" s="233"/>
      <c r="Y18" s="233"/>
      <c r="Z18" s="233"/>
      <c r="AA18" s="233"/>
      <c r="AB18" s="251"/>
    </row>
    <row r="19" spans="1:28" x14ac:dyDescent="0.25">
      <c r="A19" s="231"/>
      <c r="B19" s="233"/>
      <c r="C19" s="233"/>
      <c r="D19" s="233"/>
      <c r="E19" s="233"/>
      <c r="F19" s="233"/>
      <c r="G19" s="233"/>
      <c r="H19" s="233"/>
      <c r="I19" s="233"/>
      <c r="J19" s="229">
        <f t="shared" ca="1" si="0"/>
        <v>125</v>
      </c>
      <c r="K19" s="231"/>
      <c r="L19" s="233"/>
      <c r="M19" s="233"/>
      <c r="N19" s="233"/>
      <c r="O19" s="233"/>
      <c r="P19" s="233"/>
      <c r="Q19" s="233"/>
      <c r="R19" s="233"/>
      <c r="S19" s="233"/>
      <c r="T19" s="233"/>
      <c r="U19" s="233"/>
      <c r="V19" s="233"/>
      <c r="W19" s="233"/>
      <c r="X19" s="233"/>
      <c r="Y19" s="233"/>
      <c r="Z19" s="233"/>
      <c r="AA19" s="233"/>
      <c r="AB19" s="251"/>
    </row>
    <row r="20" spans="1:28" x14ac:dyDescent="0.25">
      <c r="A20" s="231"/>
      <c r="B20" s="233"/>
      <c r="C20" s="233"/>
      <c r="D20" s="233"/>
      <c r="E20" s="233"/>
      <c r="F20" s="233"/>
      <c r="G20" s="233"/>
      <c r="H20" s="233"/>
      <c r="I20" s="233"/>
      <c r="J20" s="229">
        <f t="shared" ca="1" si="0"/>
        <v>125</v>
      </c>
      <c r="K20" s="231"/>
      <c r="L20" s="233"/>
      <c r="M20" s="233"/>
      <c r="N20" s="233"/>
      <c r="O20" s="233"/>
      <c r="P20" s="233"/>
      <c r="Q20" s="233"/>
      <c r="R20" s="233"/>
      <c r="S20" s="233"/>
      <c r="T20" s="233"/>
      <c r="U20" s="233"/>
      <c r="V20" s="233"/>
      <c r="W20" s="233"/>
      <c r="X20" s="233"/>
      <c r="Y20" s="233"/>
      <c r="Z20" s="233"/>
      <c r="AA20" s="233"/>
      <c r="AB20" s="251"/>
    </row>
    <row r="21" spans="1:28" x14ac:dyDescent="0.25">
      <c r="A21" s="231"/>
      <c r="B21" s="233"/>
      <c r="C21" s="233"/>
      <c r="D21" s="233"/>
      <c r="E21" s="233"/>
      <c r="F21" s="233"/>
      <c r="G21" s="233"/>
      <c r="H21" s="233"/>
      <c r="I21" s="233"/>
      <c r="J21" s="229">
        <f t="shared" ca="1" si="0"/>
        <v>125</v>
      </c>
      <c r="K21" s="231"/>
      <c r="L21" s="233"/>
      <c r="M21" s="233"/>
      <c r="N21" s="233"/>
      <c r="O21" s="233"/>
      <c r="P21" s="233"/>
      <c r="Q21" s="233"/>
      <c r="R21" s="233"/>
      <c r="S21" s="233"/>
      <c r="T21" s="233"/>
      <c r="U21" s="233"/>
      <c r="V21" s="233"/>
      <c r="W21" s="233"/>
      <c r="X21" s="233"/>
      <c r="Y21" s="233"/>
      <c r="Z21" s="233"/>
      <c r="AA21" s="233"/>
      <c r="AB21" s="251"/>
    </row>
    <row r="22" spans="1:28" x14ac:dyDescent="0.25">
      <c r="A22" s="231"/>
      <c r="B22" s="233"/>
      <c r="C22" s="233"/>
      <c r="D22" s="233"/>
      <c r="E22" s="233"/>
      <c r="F22" s="233"/>
      <c r="G22" s="233"/>
      <c r="H22" s="233"/>
      <c r="I22" s="233"/>
      <c r="J22" s="229">
        <f t="shared" ca="1" si="0"/>
        <v>125</v>
      </c>
      <c r="K22" s="231"/>
      <c r="L22" s="233"/>
      <c r="M22" s="233"/>
      <c r="N22" s="233"/>
      <c r="O22" s="233"/>
      <c r="P22" s="233"/>
      <c r="Q22" s="233"/>
      <c r="R22" s="233"/>
      <c r="S22" s="233"/>
      <c r="T22" s="233"/>
      <c r="U22" s="233"/>
      <c r="V22" s="233"/>
      <c r="W22" s="233"/>
      <c r="X22" s="233"/>
      <c r="Y22" s="233"/>
      <c r="Z22" s="233"/>
      <c r="AA22" s="233"/>
      <c r="AB22" s="251"/>
    </row>
    <row r="23" spans="1:28" x14ac:dyDescent="0.25">
      <c r="A23" s="231"/>
      <c r="B23" s="233"/>
      <c r="C23" s="233"/>
      <c r="D23" s="233"/>
      <c r="E23" s="233"/>
      <c r="F23" s="233"/>
      <c r="G23" s="233"/>
      <c r="H23" s="233"/>
      <c r="I23" s="233"/>
      <c r="J23" s="229">
        <f t="shared" ca="1" si="0"/>
        <v>125</v>
      </c>
      <c r="K23" s="231"/>
      <c r="L23" s="233"/>
      <c r="M23" s="233"/>
      <c r="N23" s="233"/>
      <c r="O23" s="233"/>
      <c r="P23" s="233"/>
      <c r="Q23" s="233"/>
      <c r="R23" s="233"/>
      <c r="S23" s="233"/>
      <c r="T23" s="233"/>
      <c r="U23" s="233"/>
      <c r="V23" s="233"/>
      <c r="W23" s="233"/>
      <c r="X23" s="233"/>
      <c r="Y23" s="233"/>
      <c r="Z23" s="233"/>
      <c r="AA23" s="233"/>
      <c r="AB23" s="251"/>
    </row>
    <row r="24" spans="1:28" x14ac:dyDescent="0.25">
      <c r="A24" s="315"/>
      <c r="B24" s="316"/>
      <c r="C24" s="316"/>
      <c r="D24" s="316"/>
      <c r="E24" s="316"/>
      <c r="F24" s="316"/>
      <c r="G24" s="316"/>
      <c r="H24" s="316"/>
      <c r="I24" s="316"/>
      <c r="J24" s="78">
        <f t="shared" ca="1" si="0"/>
        <v>125</v>
      </c>
      <c r="K24" s="315"/>
      <c r="L24" s="316"/>
      <c r="M24" s="316"/>
      <c r="N24" s="316"/>
      <c r="O24" s="316"/>
      <c r="P24" s="316"/>
      <c r="Q24" s="316"/>
      <c r="R24" s="316"/>
      <c r="S24" s="316"/>
      <c r="T24" s="316"/>
      <c r="U24" s="316"/>
      <c r="V24" s="316"/>
      <c r="W24" s="316"/>
      <c r="X24" s="316"/>
      <c r="Y24" s="316"/>
      <c r="Z24" s="316"/>
      <c r="AA24" s="316"/>
      <c r="AB24" s="317"/>
    </row>
    <row r="25" spans="1:28" x14ac:dyDescent="0.25">
      <c r="A25" s="231"/>
      <c r="B25" s="233"/>
      <c r="C25" s="233"/>
      <c r="D25" s="233"/>
      <c r="E25" s="233"/>
      <c r="F25" s="233"/>
      <c r="G25" s="233"/>
      <c r="H25" s="233"/>
      <c r="I25" s="233"/>
      <c r="J25" s="229">
        <f t="shared" ca="1" si="0"/>
        <v>125</v>
      </c>
      <c r="K25" s="231"/>
      <c r="L25" s="233"/>
      <c r="M25" s="233"/>
      <c r="N25" s="233"/>
      <c r="O25" s="233"/>
      <c r="P25" s="233"/>
      <c r="Q25" s="233"/>
      <c r="R25" s="233"/>
      <c r="S25" s="233"/>
      <c r="T25" s="233"/>
      <c r="U25" s="233"/>
      <c r="V25" s="233"/>
      <c r="W25" s="233"/>
      <c r="X25" s="233"/>
      <c r="Y25" s="233"/>
      <c r="Z25" s="233"/>
      <c r="AA25" s="233"/>
      <c r="AB25" s="251"/>
    </row>
    <row r="26" spans="1:28" x14ac:dyDescent="0.25">
      <c r="A26" s="315"/>
      <c r="B26" s="316"/>
      <c r="C26" s="316"/>
      <c r="D26" s="316"/>
      <c r="E26" s="316"/>
      <c r="F26" s="316"/>
      <c r="G26" s="316"/>
      <c r="H26" s="316"/>
      <c r="I26" s="316"/>
      <c r="J26" s="78">
        <f t="shared" ca="1" si="0"/>
        <v>125</v>
      </c>
      <c r="K26" s="315"/>
      <c r="L26" s="316"/>
      <c r="M26" s="316"/>
      <c r="N26" s="316"/>
      <c r="O26" s="316"/>
      <c r="P26" s="316"/>
      <c r="Q26" s="316"/>
      <c r="R26" s="316"/>
      <c r="S26" s="316"/>
      <c r="T26" s="316"/>
      <c r="U26" s="316"/>
      <c r="V26" s="316"/>
      <c r="W26" s="316"/>
      <c r="X26" s="316"/>
      <c r="Y26" s="316"/>
      <c r="Z26" s="316"/>
      <c r="AA26" s="316"/>
      <c r="AB26" s="317"/>
    </row>
    <row r="27" spans="1:28" x14ac:dyDescent="0.25">
      <c r="A27" s="231"/>
      <c r="B27" s="233"/>
      <c r="C27" s="233"/>
      <c r="D27" s="233"/>
      <c r="E27" s="233"/>
      <c r="F27" s="233"/>
      <c r="G27" s="233"/>
      <c r="H27" s="233"/>
      <c r="I27" s="233"/>
      <c r="J27" s="229">
        <f t="shared" ca="1" si="0"/>
        <v>125</v>
      </c>
      <c r="K27" s="231"/>
      <c r="L27" s="233"/>
      <c r="M27" s="233"/>
      <c r="N27" s="233"/>
      <c r="O27" s="233"/>
      <c r="P27" s="233"/>
      <c r="Q27" s="233"/>
      <c r="R27" s="233"/>
      <c r="S27" s="233"/>
      <c r="T27" s="233"/>
      <c r="U27" s="233"/>
      <c r="V27" s="233"/>
      <c r="W27" s="233"/>
      <c r="X27" s="233"/>
      <c r="Y27" s="233"/>
      <c r="Z27" s="233"/>
      <c r="AA27" s="233"/>
      <c r="AB27" s="251"/>
    </row>
    <row r="28" spans="1:28" x14ac:dyDescent="0.25">
      <c r="A28" s="315"/>
      <c r="B28" s="316"/>
      <c r="C28" s="316"/>
      <c r="D28" s="316"/>
      <c r="E28" s="316"/>
      <c r="F28" s="316"/>
      <c r="G28" s="316"/>
      <c r="H28" s="316"/>
      <c r="I28" s="316"/>
      <c r="J28" s="78">
        <f t="shared" ca="1" si="0"/>
        <v>125</v>
      </c>
      <c r="K28" s="315"/>
      <c r="L28" s="316"/>
      <c r="M28" s="316"/>
      <c r="N28" s="316"/>
      <c r="O28" s="316"/>
      <c r="P28" s="316"/>
      <c r="Q28" s="316"/>
      <c r="R28" s="316"/>
      <c r="S28" s="316"/>
      <c r="T28" s="316"/>
      <c r="U28" s="316"/>
      <c r="V28" s="316"/>
      <c r="W28" s="316"/>
      <c r="X28" s="316"/>
      <c r="Y28" s="316"/>
      <c r="Z28" s="316"/>
      <c r="AA28" s="316"/>
      <c r="AB28" s="317"/>
    </row>
    <row r="29" spans="1:28" x14ac:dyDescent="0.25">
      <c r="A29" s="231"/>
      <c r="B29" s="233"/>
      <c r="C29" s="233"/>
      <c r="D29" s="233"/>
      <c r="E29" s="233"/>
      <c r="F29" s="233"/>
      <c r="G29" s="233"/>
      <c r="H29" s="233"/>
      <c r="I29" s="233"/>
      <c r="J29" s="229">
        <f t="shared" ca="1" si="0"/>
        <v>125</v>
      </c>
      <c r="K29" s="231"/>
      <c r="L29" s="233"/>
      <c r="M29" s="233"/>
      <c r="N29" s="233"/>
      <c r="O29" s="233"/>
      <c r="P29" s="233"/>
      <c r="Q29" s="233"/>
      <c r="R29" s="233"/>
      <c r="S29" s="233"/>
      <c r="T29" s="233"/>
      <c r="U29" s="233"/>
      <c r="V29" s="233"/>
      <c r="W29" s="233"/>
      <c r="X29" s="233"/>
      <c r="Y29" s="233"/>
      <c r="Z29" s="233"/>
      <c r="AA29" s="233"/>
      <c r="AB29" s="251"/>
    </row>
    <row r="30" spans="1:28" x14ac:dyDescent="0.25">
      <c r="A30" s="315"/>
      <c r="B30" s="316"/>
      <c r="C30" s="316"/>
      <c r="D30" s="316"/>
      <c r="E30" s="316"/>
      <c r="F30" s="316"/>
      <c r="G30" s="316"/>
      <c r="H30" s="316"/>
      <c r="I30" s="316"/>
      <c r="J30" s="78">
        <f t="shared" ca="1" si="0"/>
        <v>125</v>
      </c>
      <c r="K30" s="315"/>
      <c r="L30" s="316"/>
      <c r="M30" s="316"/>
      <c r="N30" s="316"/>
      <c r="O30" s="316"/>
      <c r="P30" s="316"/>
      <c r="Q30" s="316"/>
      <c r="R30" s="316"/>
      <c r="S30" s="316"/>
      <c r="T30" s="316"/>
      <c r="U30" s="316"/>
      <c r="V30" s="316"/>
      <c r="W30" s="316"/>
      <c r="X30" s="316"/>
      <c r="Y30" s="316"/>
      <c r="Z30" s="316"/>
      <c r="AA30" s="316"/>
      <c r="AB30" s="317"/>
    </row>
    <row r="31" spans="1:28" x14ac:dyDescent="0.25">
      <c r="A31" s="231"/>
      <c r="B31" s="233"/>
      <c r="C31" s="233"/>
      <c r="D31" s="233"/>
      <c r="E31" s="233"/>
      <c r="F31" s="233"/>
      <c r="G31" s="233"/>
      <c r="H31" s="233"/>
      <c r="I31" s="233"/>
      <c r="J31" s="229">
        <f t="shared" ca="1" si="0"/>
        <v>125</v>
      </c>
      <c r="K31" s="231"/>
      <c r="L31" s="233"/>
      <c r="M31" s="233"/>
      <c r="N31" s="233"/>
      <c r="O31" s="233"/>
      <c r="P31" s="233"/>
      <c r="Q31" s="233"/>
      <c r="R31" s="233"/>
      <c r="S31" s="233"/>
      <c r="T31" s="233"/>
      <c r="U31" s="233"/>
      <c r="V31" s="233"/>
      <c r="W31" s="233"/>
      <c r="X31" s="233"/>
      <c r="Y31" s="233"/>
      <c r="Z31" s="233"/>
      <c r="AA31" s="233"/>
      <c r="AB31" s="251"/>
    </row>
    <row r="32" spans="1:28" x14ac:dyDescent="0.25">
      <c r="A32" s="315"/>
      <c r="B32" s="316"/>
      <c r="C32" s="316"/>
      <c r="D32" s="316"/>
      <c r="E32" s="316"/>
      <c r="F32" s="316"/>
      <c r="G32" s="316"/>
      <c r="H32" s="316"/>
      <c r="I32" s="316"/>
      <c r="J32" s="78">
        <f t="shared" ca="1" si="0"/>
        <v>125</v>
      </c>
      <c r="K32" s="315"/>
      <c r="L32" s="316"/>
      <c r="M32" s="316"/>
      <c r="N32" s="316"/>
      <c r="O32" s="316"/>
      <c r="P32" s="316"/>
      <c r="Q32" s="316"/>
      <c r="R32" s="316"/>
      <c r="S32" s="316"/>
      <c r="T32" s="316"/>
      <c r="U32" s="316"/>
      <c r="V32" s="316"/>
      <c r="W32" s="316"/>
      <c r="X32" s="316"/>
      <c r="Y32" s="316"/>
      <c r="Z32" s="316"/>
      <c r="AA32" s="316"/>
      <c r="AB32" s="317"/>
    </row>
    <row r="33" spans="1:28" x14ac:dyDescent="0.25">
      <c r="A33" s="231"/>
      <c r="B33" s="233"/>
      <c r="C33" s="233"/>
      <c r="D33" s="233"/>
      <c r="E33" s="233"/>
      <c r="F33" s="233"/>
      <c r="G33" s="233"/>
      <c r="H33" s="233"/>
      <c r="I33" s="233"/>
      <c r="J33" s="229">
        <f t="shared" ca="1" si="0"/>
        <v>125</v>
      </c>
      <c r="K33" s="231"/>
      <c r="L33" s="233"/>
      <c r="M33" s="233"/>
      <c r="N33" s="233"/>
      <c r="O33" s="233"/>
      <c r="P33" s="233"/>
      <c r="Q33" s="233"/>
      <c r="R33" s="233"/>
      <c r="S33" s="233"/>
      <c r="T33" s="233"/>
      <c r="U33" s="233"/>
      <c r="V33" s="233"/>
      <c r="W33" s="233"/>
      <c r="X33" s="233"/>
      <c r="Y33" s="233"/>
      <c r="Z33" s="233"/>
      <c r="AA33" s="233"/>
      <c r="AB33" s="251"/>
    </row>
    <row r="34" spans="1:28" x14ac:dyDescent="0.25">
      <c r="A34" s="315"/>
      <c r="B34" s="316"/>
      <c r="C34" s="316"/>
      <c r="D34" s="316"/>
      <c r="E34" s="316"/>
      <c r="F34" s="316"/>
      <c r="G34" s="316"/>
      <c r="H34" s="316"/>
      <c r="I34" s="316"/>
      <c r="J34" s="78">
        <f t="shared" ca="1" si="0"/>
        <v>125</v>
      </c>
      <c r="K34" s="315"/>
      <c r="L34" s="316"/>
      <c r="M34" s="316"/>
      <c r="N34" s="316"/>
      <c r="O34" s="316"/>
      <c r="P34" s="316"/>
      <c r="Q34" s="316"/>
      <c r="R34" s="316"/>
      <c r="S34" s="316"/>
      <c r="T34" s="316"/>
      <c r="U34" s="316"/>
      <c r="V34" s="316"/>
      <c r="W34" s="316"/>
      <c r="X34" s="316"/>
      <c r="Y34" s="316"/>
      <c r="Z34" s="316"/>
      <c r="AA34" s="316"/>
      <c r="AB34" s="317"/>
    </row>
    <row r="35" spans="1:28" x14ac:dyDescent="0.25">
      <c r="A35" s="231"/>
      <c r="B35" s="233"/>
      <c r="C35" s="233"/>
      <c r="D35" s="233"/>
      <c r="E35" s="233"/>
      <c r="F35" s="233"/>
      <c r="G35" s="233"/>
      <c r="H35" s="233"/>
      <c r="I35" s="233"/>
      <c r="J35" s="229">
        <f t="shared" ca="1" si="0"/>
        <v>125</v>
      </c>
      <c r="K35" s="231"/>
      <c r="L35" s="233"/>
      <c r="M35" s="233"/>
      <c r="N35" s="233"/>
      <c r="O35" s="233"/>
      <c r="P35" s="233"/>
      <c r="Q35" s="233"/>
      <c r="R35" s="233"/>
      <c r="S35" s="233"/>
      <c r="T35" s="233"/>
      <c r="U35" s="233"/>
      <c r="V35" s="233"/>
      <c r="W35" s="233"/>
      <c r="X35" s="233"/>
      <c r="Y35" s="233"/>
      <c r="Z35" s="233"/>
      <c r="AA35" s="233"/>
      <c r="AB35" s="251"/>
    </row>
    <row r="36" spans="1:28" x14ac:dyDescent="0.25">
      <c r="A36" s="315"/>
      <c r="B36" s="316"/>
      <c r="C36" s="316"/>
      <c r="D36" s="316"/>
      <c r="E36" s="316"/>
      <c r="F36" s="316"/>
      <c r="G36" s="316"/>
      <c r="H36" s="316"/>
      <c r="I36" s="316"/>
      <c r="J36" s="78">
        <f t="shared" ca="1" si="0"/>
        <v>125</v>
      </c>
      <c r="K36" s="315"/>
      <c r="L36" s="316"/>
      <c r="M36" s="316"/>
      <c r="N36" s="316"/>
      <c r="O36" s="316"/>
      <c r="P36" s="316"/>
      <c r="Q36" s="316"/>
      <c r="R36" s="316"/>
      <c r="S36" s="316"/>
      <c r="T36" s="316"/>
      <c r="U36" s="316"/>
      <c r="V36" s="316"/>
      <c r="W36" s="316"/>
      <c r="X36" s="316"/>
      <c r="Y36" s="316"/>
      <c r="Z36" s="316"/>
      <c r="AA36" s="316"/>
      <c r="AB36" s="317"/>
    </row>
    <row r="37" spans="1:28" x14ac:dyDescent="0.25">
      <c r="A37" s="231"/>
      <c r="B37" s="233"/>
      <c r="C37" s="233"/>
      <c r="D37" s="233"/>
      <c r="E37" s="233"/>
      <c r="F37" s="233"/>
      <c r="G37" s="233"/>
      <c r="H37" s="233"/>
      <c r="I37" s="233"/>
      <c r="J37" s="229">
        <f t="shared" ca="1" si="0"/>
        <v>125</v>
      </c>
      <c r="K37" s="231"/>
      <c r="L37" s="233"/>
      <c r="M37" s="233"/>
      <c r="N37" s="233"/>
      <c r="O37" s="233"/>
      <c r="P37" s="233"/>
      <c r="Q37" s="233"/>
      <c r="R37" s="233"/>
      <c r="S37" s="233"/>
      <c r="T37" s="233"/>
      <c r="U37" s="233"/>
      <c r="V37" s="233"/>
      <c r="W37" s="233"/>
      <c r="X37" s="233"/>
      <c r="Y37" s="233"/>
      <c r="Z37" s="233"/>
      <c r="AA37" s="233"/>
      <c r="AB37" s="251"/>
    </row>
    <row r="38" spans="1:28" x14ac:dyDescent="0.25">
      <c r="A38" s="315"/>
      <c r="B38" s="316"/>
      <c r="C38" s="316"/>
      <c r="D38" s="316"/>
      <c r="E38" s="316"/>
      <c r="F38" s="316"/>
      <c r="G38" s="316"/>
      <c r="H38" s="316"/>
      <c r="I38" s="316"/>
      <c r="J38" s="78">
        <f t="shared" ca="1" si="0"/>
        <v>125</v>
      </c>
      <c r="K38" s="315"/>
      <c r="L38" s="316"/>
      <c r="M38" s="316"/>
      <c r="N38" s="316"/>
      <c r="O38" s="316"/>
      <c r="P38" s="316"/>
      <c r="Q38" s="316"/>
      <c r="R38" s="316"/>
      <c r="S38" s="316"/>
      <c r="T38" s="316"/>
      <c r="U38" s="316"/>
      <c r="V38" s="316"/>
      <c r="W38" s="316"/>
      <c r="X38" s="316"/>
      <c r="Y38" s="316"/>
      <c r="Z38" s="316"/>
      <c r="AA38" s="316"/>
      <c r="AB38" s="317"/>
    </row>
    <row r="39" spans="1:28" x14ac:dyDescent="0.25">
      <c r="A39" s="231"/>
      <c r="B39" s="233"/>
      <c r="C39" s="233"/>
      <c r="D39" s="233"/>
      <c r="E39" s="233"/>
      <c r="F39" s="233"/>
      <c r="G39" s="233"/>
      <c r="H39" s="233"/>
      <c r="I39" s="233"/>
      <c r="J39" s="229">
        <f t="shared" ca="1" si="0"/>
        <v>125</v>
      </c>
      <c r="K39" s="231"/>
      <c r="L39" s="233"/>
      <c r="M39" s="233"/>
      <c r="N39" s="233"/>
      <c r="O39" s="233"/>
      <c r="P39" s="233"/>
      <c r="Q39" s="233"/>
      <c r="R39" s="233"/>
      <c r="S39" s="233"/>
      <c r="T39" s="233"/>
      <c r="U39" s="233"/>
      <c r="V39" s="233"/>
      <c r="W39" s="233"/>
      <c r="X39" s="233"/>
      <c r="Y39" s="233"/>
      <c r="Z39" s="233"/>
      <c r="AA39" s="233"/>
      <c r="AB39" s="251"/>
    </row>
    <row r="40" spans="1:28" x14ac:dyDescent="0.25">
      <c r="A40" s="315"/>
      <c r="B40" s="316"/>
      <c r="C40" s="316"/>
      <c r="D40" s="316"/>
      <c r="E40" s="316"/>
      <c r="F40" s="316"/>
      <c r="G40" s="316"/>
      <c r="H40" s="316"/>
      <c r="I40" s="316"/>
      <c r="J40" s="78">
        <f t="shared" ca="1" si="0"/>
        <v>125</v>
      </c>
      <c r="K40" s="315"/>
      <c r="L40" s="316"/>
      <c r="M40" s="316"/>
      <c r="N40" s="316"/>
      <c r="O40" s="316"/>
      <c r="P40" s="316"/>
      <c r="Q40" s="316"/>
      <c r="R40" s="316"/>
      <c r="S40" s="316"/>
      <c r="T40" s="316"/>
      <c r="U40" s="316"/>
      <c r="V40" s="316"/>
      <c r="W40" s="316"/>
      <c r="X40" s="316"/>
      <c r="Y40" s="316"/>
      <c r="Z40" s="316"/>
      <c r="AA40" s="316"/>
      <c r="AB40" s="317"/>
    </row>
    <row r="41" spans="1:28" x14ac:dyDescent="0.25">
      <c r="A41" s="231"/>
      <c r="B41" s="233"/>
      <c r="C41" s="233"/>
      <c r="D41" s="233"/>
      <c r="E41" s="233"/>
      <c r="F41" s="233"/>
      <c r="G41" s="233"/>
      <c r="H41" s="233"/>
      <c r="I41" s="233"/>
      <c r="J41" s="229">
        <f t="shared" ca="1" si="0"/>
        <v>125</v>
      </c>
      <c r="K41" s="231"/>
      <c r="L41" s="233"/>
      <c r="M41" s="233"/>
      <c r="N41" s="233"/>
      <c r="O41" s="233"/>
      <c r="P41" s="233"/>
      <c r="Q41" s="233"/>
      <c r="R41" s="233"/>
      <c r="S41" s="233"/>
      <c r="T41" s="233"/>
      <c r="U41" s="233"/>
      <c r="V41" s="233"/>
      <c r="W41" s="233"/>
      <c r="X41" s="233"/>
      <c r="Y41" s="233"/>
      <c r="Z41" s="233"/>
      <c r="AA41" s="233"/>
      <c r="AB41" s="251"/>
    </row>
    <row r="42" spans="1:28" x14ac:dyDescent="0.25">
      <c r="A42" s="315"/>
      <c r="B42" s="316"/>
      <c r="C42" s="316"/>
      <c r="D42" s="316"/>
      <c r="E42" s="316"/>
      <c r="F42" s="316"/>
      <c r="G42" s="316"/>
      <c r="H42" s="316"/>
      <c r="I42" s="316"/>
      <c r="J42" s="78">
        <f t="shared" ca="1" si="0"/>
        <v>125</v>
      </c>
      <c r="K42" s="315"/>
      <c r="L42" s="316"/>
      <c r="M42" s="316"/>
      <c r="N42" s="316"/>
      <c r="O42" s="316"/>
      <c r="P42" s="316"/>
      <c r="Q42" s="316"/>
      <c r="R42" s="316"/>
      <c r="S42" s="316"/>
      <c r="T42" s="316"/>
      <c r="U42" s="316"/>
      <c r="V42" s="316"/>
      <c r="W42" s="316"/>
      <c r="X42" s="316"/>
      <c r="Y42" s="316"/>
      <c r="Z42" s="316"/>
      <c r="AA42" s="316"/>
      <c r="AB42" s="317"/>
    </row>
    <row r="43" spans="1:28" x14ac:dyDescent="0.25">
      <c r="A43" s="231"/>
      <c r="B43" s="233"/>
      <c r="C43" s="233"/>
      <c r="D43" s="233"/>
      <c r="E43" s="233"/>
      <c r="F43" s="233"/>
      <c r="G43" s="233"/>
      <c r="H43" s="233"/>
      <c r="I43" s="233"/>
      <c r="J43" s="229">
        <f t="shared" ca="1" si="0"/>
        <v>125</v>
      </c>
      <c r="K43" s="231"/>
      <c r="L43" s="233"/>
      <c r="M43" s="233"/>
      <c r="N43" s="233"/>
      <c r="O43" s="233"/>
      <c r="P43" s="233"/>
      <c r="Q43" s="233"/>
      <c r="R43" s="233"/>
      <c r="S43" s="233"/>
      <c r="T43" s="233"/>
      <c r="U43" s="233"/>
      <c r="V43" s="233"/>
      <c r="W43" s="233"/>
      <c r="X43" s="233"/>
      <c r="Y43" s="233"/>
      <c r="Z43" s="233"/>
      <c r="AA43" s="233"/>
      <c r="AB43" s="251"/>
    </row>
    <row r="44" spans="1:28" x14ac:dyDescent="0.25">
      <c r="A44" s="315"/>
      <c r="B44" s="316"/>
      <c r="C44" s="316"/>
      <c r="D44" s="316"/>
      <c r="E44" s="316"/>
      <c r="F44" s="316"/>
      <c r="G44" s="316"/>
      <c r="H44" s="316"/>
      <c r="I44" s="316"/>
      <c r="J44" s="78">
        <f t="shared" ca="1" si="0"/>
        <v>125</v>
      </c>
      <c r="K44" s="315"/>
      <c r="L44" s="316"/>
      <c r="M44" s="316"/>
      <c r="N44" s="316"/>
      <c r="O44" s="316"/>
      <c r="P44" s="316"/>
      <c r="Q44" s="316"/>
      <c r="R44" s="316"/>
      <c r="S44" s="316"/>
      <c r="T44" s="316"/>
      <c r="U44" s="316"/>
      <c r="V44" s="316"/>
      <c r="W44" s="316"/>
      <c r="X44" s="316"/>
      <c r="Y44" s="316"/>
      <c r="Z44" s="316"/>
      <c r="AA44" s="316"/>
      <c r="AB44" s="317"/>
    </row>
    <row r="45" spans="1:28" x14ac:dyDescent="0.25">
      <c r="A45" s="231"/>
      <c r="B45" s="233"/>
      <c r="C45" s="233"/>
      <c r="D45" s="233"/>
      <c r="E45" s="233"/>
      <c r="F45" s="233"/>
      <c r="G45" s="233"/>
      <c r="H45" s="233"/>
      <c r="I45" s="233"/>
      <c r="J45" s="229">
        <f t="shared" ca="1" si="0"/>
        <v>125</v>
      </c>
      <c r="K45" s="231"/>
      <c r="L45" s="233"/>
      <c r="M45" s="233"/>
      <c r="N45" s="233"/>
      <c r="O45" s="233"/>
      <c r="P45" s="233"/>
      <c r="Q45" s="233"/>
      <c r="R45" s="233"/>
      <c r="S45" s="233"/>
      <c r="T45" s="233"/>
      <c r="U45" s="233"/>
      <c r="V45" s="233"/>
      <c r="W45" s="233"/>
      <c r="X45" s="233"/>
      <c r="Y45" s="233"/>
      <c r="Z45" s="233"/>
      <c r="AA45" s="233"/>
      <c r="AB45" s="251"/>
    </row>
    <row r="46" spans="1:28" x14ac:dyDescent="0.25">
      <c r="A46" s="315"/>
      <c r="B46" s="316"/>
      <c r="C46" s="316"/>
      <c r="D46" s="316"/>
      <c r="E46" s="316"/>
      <c r="F46" s="316"/>
      <c r="G46" s="316"/>
      <c r="H46" s="316"/>
      <c r="I46" s="316"/>
      <c r="J46" s="78">
        <f t="shared" ca="1" si="0"/>
        <v>125</v>
      </c>
      <c r="K46" s="315"/>
      <c r="L46" s="316"/>
      <c r="M46" s="316"/>
      <c r="N46" s="316"/>
      <c r="O46" s="316"/>
      <c r="P46" s="316"/>
      <c r="Q46" s="316"/>
      <c r="R46" s="316"/>
      <c r="S46" s="316"/>
      <c r="T46" s="316"/>
      <c r="U46" s="316"/>
      <c r="V46" s="316"/>
      <c r="W46" s="316"/>
      <c r="X46" s="316"/>
      <c r="Y46" s="316"/>
      <c r="Z46" s="316"/>
      <c r="AA46" s="316"/>
      <c r="AB46" s="317"/>
    </row>
    <row r="47" spans="1:28" x14ac:dyDescent="0.25">
      <c r="A47" s="231"/>
      <c r="B47" s="233"/>
      <c r="C47" s="233"/>
      <c r="D47" s="233"/>
      <c r="E47" s="233"/>
      <c r="F47" s="233"/>
      <c r="G47" s="233"/>
      <c r="H47" s="233"/>
      <c r="I47" s="233"/>
      <c r="J47" s="229">
        <f t="shared" ca="1" si="0"/>
        <v>125</v>
      </c>
      <c r="K47" s="231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  <c r="AA47" s="233"/>
      <c r="AB47" s="251"/>
    </row>
    <row r="48" spans="1:28" x14ac:dyDescent="0.25">
      <c r="A48" s="315"/>
      <c r="B48" s="316"/>
      <c r="C48" s="316"/>
      <c r="D48" s="316"/>
      <c r="E48" s="316"/>
      <c r="F48" s="316"/>
      <c r="G48" s="316"/>
      <c r="H48" s="316"/>
      <c r="I48" s="316"/>
      <c r="J48" s="78">
        <f t="shared" ca="1" si="0"/>
        <v>125</v>
      </c>
      <c r="K48" s="315"/>
      <c r="L48" s="316"/>
      <c r="M48" s="316"/>
      <c r="N48" s="316"/>
      <c r="O48" s="316"/>
      <c r="P48" s="316"/>
      <c r="Q48" s="316"/>
      <c r="R48" s="316"/>
      <c r="S48" s="316"/>
      <c r="T48" s="316"/>
      <c r="U48" s="316"/>
      <c r="V48" s="316"/>
      <c r="W48" s="316"/>
      <c r="X48" s="316"/>
      <c r="Y48" s="316"/>
      <c r="Z48" s="316"/>
      <c r="AA48" s="316"/>
      <c r="AB48" s="317"/>
    </row>
    <row r="49" spans="1:28" x14ac:dyDescent="0.25">
      <c r="A49" s="231"/>
      <c r="B49" s="233"/>
      <c r="C49" s="233"/>
      <c r="D49" s="233"/>
      <c r="E49" s="233"/>
      <c r="F49" s="233"/>
      <c r="G49" s="233"/>
      <c r="H49" s="233"/>
      <c r="I49" s="233"/>
      <c r="J49" s="229">
        <f t="shared" ca="1" si="0"/>
        <v>125</v>
      </c>
      <c r="K49" s="231"/>
      <c r="L49" s="233"/>
      <c r="M49" s="233"/>
      <c r="N49" s="233"/>
      <c r="O49" s="233"/>
      <c r="P49" s="233"/>
      <c r="Q49" s="233"/>
      <c r="R49" s="233"/>
      <c r="S49" s="233"/>
      <c r="T49" s="233"/>
      <c r="U49" s="233"/>
      <c r="V49" s="233"/>
      <c r="W49" s="233"/>
      <c r="X49" s="233"/>
      <c r="Y49" s="233"/>
      <c r="Z49" s="233"/>
      <c r="AA49" s="233"/>
      <c r="AB49" s="251"/>
    </row>
  </sheetData>
  <mergeCells count="1">
    <mergeCell ref="AC1:AJ1"/>
  </mergeCells>
  <conditionalFormatting sqref="F4">
    <cfRule type="duplicateValues" dxfId="132" priority="15" stopIfTrue="1"/>
    <cfRule type="duplicateValues" dxfId="131" priority="16" stopIfTrue="1"/>
    <cfRule type="duplicateValues" dxfId="130" priority="17" stopIfTrue="1"/>
    <cfRule type="duplicateValues" dxfId="129" priority="18" stopIfTrue="1"/>
    <cfRule type="duplicateValues" dxfId="128" priority="19" stopIfTrue="1"/>
    <cfRule type="duplicateValues" dxfId="127" priority="20" stopIfTrue="1"/>
    <cfRule type="duplicateValues" dxfId="126" priority="21" stopIfTrue="1"/>
    <cfRule type="duplicateValues" dxfId="125" priority="22" stopIfTrue="1"/>
    <cfRule type="duplicateValues" dxfId="124" priority="23" stopIfTrue="1"/>
    <cfRule type="duplicateValues" dxfId="123" priority="24" stopIfTrue="1"/>
    <cfRule type="duplicateValues" dxfId="122" priority="25" stopIfTrue="1"/>
    <cfRule type="duplicateValues" dxfId="121" priority="26" stopIfTrue="1"/>
    <cfRule type="duplicateValues" dxfId="120" priority="27" stopIfTrue="1"/>
    <cfRule type="duplicateValues" dxfId="119" priority="28" stopIfTrue="1"/>
    <cfRule type="duplicateValues" dxfId="118" priority="29" stopIfTrue="1"/>
    <cfRule type="duplicateValues" dxfId="117" priority="30" stopIfTrue="1"/>
    <cfRule type="duplicateValues" dxfId="116" priority="31" stopIfTrue="1"/>
  </conditionalFormatting>
  <conditionalFormatting sqref="F5">
    <cfRule type="duplicateValues" dxfId="115" priority="1" stopIfTrue="1"/>
    <cfRule type="duplicateValues" dxfId="114" priority="2" stopIfTrue="1"/>
    <cfRule type="duplicateValues" dxfId="113" priority="3" stopIfTrue="1"/>
    <cfRule type="duplicateValues" dxfId="112" priority="4" stopIfTrue="1"/>
    <cfRule type="duplicateValues" dxfId="111" priority="5" stopIfTrue="1"/>
    <cfRule type="duplicateValues" dxfId="110" priority="6" stopIfTrue="1"/>
    <cfRule type="duplicateValues" dxfId="109" priority="7" stopIfTrue="1"/>
    <cfRule type="duplicateValues" dxfId="108" priority="8" stopIfTrue="1"/>
    <cfRule type="duplicateValues" dxfId="107" priority="9" stopIfTrue="1"/>
    <cfRule type="duplicateValues" dxfId="106" priority="10" stopIfTrue="1"/>
    <cfRule type="duplicateValues" dxfId="105" priority="11" stopIfTrue="1"/>
    <cfRule type="duplicateValues" dxfId="104" priority="12" stopIfTrue="1"/>
    <cfRule type="duplicateValues" dxfId="103" priority="13" stopIfTrue="1"/>
    <cfRule type="duplicateValues" dxfId="102" priority="14" stopIfTrue="1"/>
  </conditionalFormatting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51"/>
  <sheetViews>
    <sheetView showGridLines="0" zoomScaleNormal="100" workbookViewId="0">
      <pane ySplit="1" topLeftCell="A14" activePane="bottomLeft" state="frozenSplit"/>
      <selection pane="bottomLeft" activeCell="H11" sqref="H11"/>
    </sheetView>
  </sheetViews>
  <sheetFormatPr defaultRowHeight="14.4" x14ac:dyDescent="0.3"/>
  <cols>
    <col min="2" max="2" width="4.6640625" customWidth="1"/>
    <col min="3" max="3" width="9.109375" style="12"/>
    <col min="4" max="4" width="10.88671875" customWidth="1"/>
    <col min="5" max="5" width="22.88671875" customWidth="1"/>
    <col min="6" max="6" width="18.88671875" bestFit="1" customWidth="1"/>
    <col min="8" max="8" width="11.44140625" customWidth="1"/>
    <col min="9" max="9" width="12.88671875" customWidth="1"/>
    <col min="11" max="11" width="11.109375" customWidth="1"/>
    <col min="12" max="13" width="19" customWidth="1"/>
    <col min="16" max="16" width="8" customWidth="1"/>
    <col min="17" max="18" width="7.44140625" customWidth="1"/>
    <col min="19" max="19" width="6.109375" customWidth="1"/>
    <col min="20" max="20" width="7" customWidth="1"/>
    <col min="21" max="21" width="6.6640625" customWidth="1"/>
    <col min="22" max="22" width="7.109375" customWidth="1"/>
    <col min="24" max="24" width="71.6640625" customWidth="1"/>
  </cols>
  <sheetData>
    <row r="1" spans="1:24" s="35" customFormat="1" ht="210.75" customHeight="1" thickBot="1" x14ac:dyDescent="0.3">
      <c r="A1" s="107" t="s">
        <v>56</v>
      </c>
      <c r="B1" s="143" t="s">
        <v>25</v>
      </c>
      <c r="C1" s="144" t="s">
        <v>26</v>
      </c>
      <c r="D1" s="144" t="s">
        <v>231</v>
      </c>
      <c r="E1" s="103" t="s">
        <v>60</v>
      </c>
      <c r="F1" s="144" t="s">
        <v>61</v>
      </c>
      <c r="G1" s="103" t="s">
        <v>466</v>
      </c>
      <c r="H1" s="144" t="s">
        <v>235</v>
      </c>
      <c r="I1" s="103" t="s">
        <v>486</v>
      </c>
      <c r="J1" s="103" t="s">
        <v>237</v>
      </c>
      <c r="K1" s="103" t="s">
        <v>513</v>
      </c>
      <c r="L1" s="103" t="s">
        <v>514</v>
      </c>
      <c r="M1" s="103" t="s">
        <v>515</v>
      </c>
      <c r="N1" s="145" t="s">
        <v>516</v>
      </c>
      <c r="O1" s="145" t="s">
        <v>517</v>
      </c>
      <c r="P1" s="145" t="s">
        <v>518</v>
      </c>
      <c r="Q1" s="145" t="s">
        <v>494</v>
      </c>
      <c r="R1" s="145" t="s">
        <v>519</v>
      </c>
      <c r="S1" s="145" t="s">
        <v>520</v>
      </c>
      <c r="T1" s="145" t="s">
        <v>521</v>
      </c>
      <c r="U1" s="145" t="s">
        <v>522</v>
      </c>
      <c r="V1" s="145" t="s">
        <v>523</v>
      </c>
      <c r="W1" s="146" t="s">
        <v>524</v>
      </c>
      <c r="X1" s="112" t="s">
        <v>91</v>
      </c>
    </row>
    <row r="2" spans="1:24" x14ac:dyDescent="0.3">
      <c r="A2" s="44"/>
      <c r="B2" s="108"/>
      <c r="C2" s="255">
        <v>266</v>
      </c>
      <c r="D2" s="256" t="s">
        <v>92</v>
      </c>
      <c r="E2" s="255" t="s">
        <v>145</v>
      </c>
      <c r="F2" s="255" t="s">
        <v>525</v>
      </c>
      <c r="G2" s="255" t="s">
        <v>258</v>
      </c>
      <c r="H2" s="255" t="s">
        <v>145</v>
      </c>
      <c r="I2" s="257">
        <v>21746</v>
      </c>
      <c r="J2" s="70">
        <f t="shared" ref="J2:J33" ca="1" si="0">INT((TODAY()-I2)/365.25)</f>
        <v>65</v>
      </c>
      <c r="K2" s="258"/>
      <c r="L2" s="255">
        <v>3</v>
      </c>
      <c r="M2" s="255">
        <v>1</v>
      </c>
      <c r="N2" s="109"/>
      <c r="O2" s="109"/>
      <c r="P2" s="109"/>
      <c r="Q2" s="109"/>
      <c r="R2" s="109"/>
      <c r="S2" s="109"/>
      <c r="T2" s="109"/>
      <c r="U2" s="109"/>
      <c r="V2" s="109"/>
      <c r="W2" s="110"/>
      <c r="X2" s="111" t="s">
        <v>526</v>
      </c>
    </row>
    <row r="3" spans="1:24" x14ac:dyDescent="0.3">
      <c r="A3" s="44"/>
      <c r="B3" s="37"/>
      <c r="C3" s="259">
        <v>10208</v>
      </c>
      <c r="D3" s="260" t="s">
        <v>92</v>
      </c>
      <c r="E3" s="255" t="s">
        <v>145</v>
      </c>
      <c r="F3" s="259" t="s">
        <v>527</v>
      </c>
      <c r="G3" s="259" t="s">
        <v>258</v>
      </c>
      <c r="H3" s="255" t="s">
        <v>145</v>
      </c>
      <c r="I3" s="261">
        <v>37256</v>
      </c>
      <c r="J3" s="229">
        <f t="shared" ca="1" si="0"/>
        <v>23</v>
      </c>
      <c r="K3" s="261"/>
      <c r="L3" s="262">
        <v>2</v>
      </c>
      <c r="M3" s="262">
        <v>0</v>
      </c>
      <c r="N3" s="45"/>
      <c r="O3" s="45"/>
      <c r="P3" s="45"/>
      <c r="Q3" s="45"/>
      <c r="R3" s="45"/>
      <c r="S3" s="45"/>
      <c r="T3" s="45"/>
      <c r="U3" s="45"/>
      <c r="V3" s="45"/>
      <c r="W3" s="45"/>
      <c r="X3" s="45" t="s">
        <v>528</v>
      </c>
    </row>
    <row r="4" spans="1:24" x14ac:dyDescent="0.3">
      <c r="A4" s="44"/>
      <c r="B4" s="37"/>
      <c r="C4" s="259">
        <v>268</v>
      </c>
      <c r="D4" s="260" t="s">
        <v>92</v>
      </c>
      <c r="E4" s="255" t="s">
        <v>145</v>
      </c>
      <c r="F4" s="259" t="s">
        <v>529</v>
      </c>
      <c r="G4" s="259" t="s">
        <v>254</v>
      </c>
      <c r="H4" s="255" t="s">
        <v>145</v>
      </c>
      <c r="I4" s="261">
        <v>18459</v>
      </c>
      <c r="J4" s="229">
        <f t="shared" ca="1" si="0"/>
        <v>74</v>
      </c>
      <c r="K4" s="261"/>
      <c r="L4" s="262">
        <v>2</v>
      </c>
      <c r="M4" s="262">
        <v>3</v>
      </c>
      <c r="N4" s="45"/>
      <c r="O4" s="45"/>
      <c r="P4" s="45"/>
      <c r="Q4" s="45"/>
      <c r="R4" s="45"/>
      <c r="S4" s="45"/>
      <c r="T4" s="45"/>
      <c r="U4" s="45"/>
      <c r="V4" s="45"/>
      <c r="W4" s="45"/>
      <c r="X4" s="45" t="s">
        <v>530</v>
      </c>
    </row>
    <row r="5" spans="1:24" x14ac:dyDescent="0.3">
      <c r="A5" s="44"/>
      <c r="B5" s="37"/>
      <c r="C5" s="259">
        <v>160</v>
      </c>
      <c r="D5" s="260" t="s">
        <v>92</v>
      </c>
      <c r="E5" s="255" t="s">
        <v>145</v>
      </c>
      <c r="F5" s="259" t="s">
        <v>531</v>
      </c>
      <c r="G5" s="259"/>
      <c r="H5" s="255" t="s">
        <v>145</v>
      </c>
      <c r="I5" s="261">
        <v>23573</v>
      </c>
      <c r="J5" s="229">
        <f t="shared" ca="1" si="0"/>
        <v>60</v>
      </c>
      <c r="K5" s="261"/>
      <c r="L5" s="262">
        <v>3</v>
      </c>
      <c r="M5" s="262">
        <v>2</v>
      </c>
      <c r="N5" s="45"/>
      <c r="O5" s="45"/>
      <c r="P5" s="45"/>
      <c r="Q5" s="45"/>
      <c r="R5" s="45"/>
      <c r="S5" s="45"/>
      <c r="T5" s="45"/>
      <c r="U5" s="45"/>
      <c r="V5" s="45"/>
      <c r="W5" s="45"/>
      <c r="X5" s="45" t="s">
        <v>530</v>
      </c>
    </row>
    <row r="6" spans="1:24" x14ac:dyDescent="0.3">
      <c r="A6" s="44"/>
      <c r="B6" s="37"/>
      <c r="C6" s="259">
        <v>158</v>
      </c>
      <c r="D6" s="260" t="s">
        <v>92</v>
      </c>
      <c r="E6" s="255" t="s">
        <v>145</v>
      </c>
      <c r="F6" s="259" t="s">
        <v>532</v>
      </c>
      <c r="G6" s="259" t="s">
        <v>258</v>
      </c>
      <c r="H6" s="255" t="s">
        <v>145</v>
      </c>
      <c r="I6" s="261">
        <v>22477</v>
      </c>
      <c r="J6" s="229">
        <f t="shared" ca="1" si="0"/>
        <v>63</v>
      </c>
      <c r="K6" s="261"/>
      <c r="L6" s="262">
        <v>3</v>
      </c>
      <c r="M6" s="262">
        <v>2</v>
      </c>
      <c r="N6" s="45"/>
      <c r="O6" s="45"/>
      <c r="P6" s="45"/>
      <c r="Q6" s="45"/>
      <c r="R6" s="45"/>
      <c r="S6" s="45"/>
      <c r="T6" s="45"/>
      <c r="U6" s="45"/>
      <c r="V6" s="45"/>
      <c r="W6" s="45"/>
      <c r="X6" s="45" t="s">
        <v>530</v>
      </c>
    </row>
    <row r="7" spans="1:24" x14ac:dyDescent="0.3">
      <c r="A7" s="44"/>
      <c r="B7" s="37"/>
      <c r="C7" s="259">
        <v>147</v>
      </c>
      <c r="D7" s="260" t="s">
        <v>92</v>
      </c>
      <c r="E7" s="255" t="s">
        <v>145</v>
      </c>
      <c r="F7" s="259" t="s">
        <v>505</v>
      </c>
      <c r="G7" s="259" t="s">
        <v>258</v>
      </c>
      <c r="H7" s="255" t="s">
        <v>145</v>
      </c>
      <c r="I7" s="261">
        <v>21438</v>
      </c>
      <c r="J7" s="229">
        <f t="shared" ca="1" si="0"/>
        <v>66</v>
      </c>
      <c r="K7" s="261"/>
      <c r="L7" s="262">
        <v>3</v>
      </c>
      <c r="M7" s="262">
        <v>2</v>
      </c>
      <c r="N7" s="45"/>
      <c r="O7" s="45"/>
      <c r="P7" s="45"/>
      <c r="Q7" s="45"/>
      <c r="R7" s="45"/>
      <c r="S7" s="45"/>
      <c r="T7" s="45"/>
      <c r="U7" s="45"/>
      <c r="V7" s="45"/>
      <c r="W7" s="45"/>
      <c r="X7" s="45" t="s">
        <v>533</v>
      </c>
    </row>
    <row r="8" spans="1:24" x14ac:dyDescent="0.3">
      <c r="A8" s="44"/>
      <c r="B8" s="37"/>
      <c r="C8" s="259">
        <v>5491</v>
      </c>
      <c r="D8" s="260" t="s">
        <v>92</v>
      </c>
      <c r="E8" s="255" t="s">
        <v>145</v>
      </c>
      <c r="F8" s="259" t="s">
        <v>534</v>
      </c>
      <c r="G8" s="259" t="s">
        <v>254</v>
      </c>
      <c r="H8" s="255" t="s">
        <v>145</v>
      </c>
      <c r="I8" s="261">
        <v>30421</v>
      </c>
      <c r="J8" s="229">
        <f t="shared" ca="1" si="0"/>
        <v>42</v>
      </c>
      <c r="K8" s="261"/>
      <c r="L8" s="262">
        <v>2</v>
      </c>
      <c r="M8" s="262">
        <v>1</v>
      </c>
      <c r="N8" s="45"/>
      <c r="O8" s="45"/>
      <c r="P8" s="45"/>
      <c r="Q8" s="45"/>
      <c r="R8" s="45"/>
      <c r="S8" s="45"/>
      <c r="T8" s="45"/>
      <c r="U8" s="45"/>
      <c r="V8" s="45"/>
      <c r="W8" s="45"/>
      <c r="X8" s="45" t="s">
        <v>535</v>
      </c>
    </row>
    <row r="9" spans="1:24" x14ac:dyDescent="0.3">
      <c r="A9" s="44"/>
      <c r="B9" s="37"/>
      <c r="C9" s="259">
        <v>109</v>
      </c>
      <c r="D9" s="260" t="s">
        <v>92</v>
      </c>
      <c r="E9" s="259" t="s">
        <v>536</v>
      </c>
      <c r="F9" s="259" t="s">
        <v>537</v>
      </c>
      <c r="G9" s="259" t="s">
        <v>254</v>
      </c>
      <c r="H9" s="259" t="s">
        <v>101</v>
      </c>
      <c r="I9" s="261">
        <v>24273</v>
      </c>
      <c r="J9" s="229">
        <f t="shared" ca="1" si="0"/>
        <v>58</v>
      </c>
      <c r="K9" s="261"/>
      <c r="L9" s="262">
        <v>1</v>
      </c>
      <c r="M9" s="262">
        <v>1</v>
      </c>
      <c r="N9" s="45"/>
      <c r="O9" s="45"/>
      <c r="P9" s="45"/>
      <c r="Q9" s="45"/>
      <c r="R9" s="45"/>
      <c r="S9" s="45"/>
      <c r="T9" s="45"/>
      <c r="U9" s="45"/>
      <c r="V9" s="45"/>
      <c r="W9" s="45"/>
      <c r="X9" s="45" t="s">
        <v>538</v>
      </c>
    </row>
    <row r="10" spans="1:24" x14ac:dyDescent="0.3">
      <c r="A10" s="44"/>
      <c r="B10" s="37"/>
      <c r="C10" s="259">
        <v>82</v>
      </c>
      <c r="D10" s="260" t="s">
        <v>92</v>
      </c>
      <c r="E10" s="259" t="s">
        <v>536</v>
      </c>
      <c r="F10" s="259" t="s">
        <v>539</v>
      </c>
      <c r="G10" s="259" t="s">
        <v>258</v>
      </c>
      <c r="H10" s="259" t="s">
        <v>136</v>
      </c>
      <c r="I10" s="261">
        <v>22132</v>
      </c>
      <c r="J10" s="229">
        <f t="shared" ca="1" si="0"/>
        <v>64</v>
      </c>
      <c r="K10" s="261"/>
      <c r="L10" s="262">
        <v>2</v>
      </c>
      <c r="M10" s="262">
        <v>3</v>
      </c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 t="s">
        <v>540</v>
      </c>
    </row>
    <row r="11" spans="1:24" x14ac:dyDescent="0.3">
      <c r="A11" s="44"/>
      <c r="B11" s="37"/>
      <c r="C11" s="263">
        <v>317</v>
      </c>
      <c r="D11" s="260" t="s">
        <v>92</v>
      </c>
      <c r="E11" s="263" t="s">
        <v>136</v>
      </c>
      <c r="F11" s="263" t="s">
        <v>541</v>
      </c>
      <c r="G11" s="263" t="s">
        <v>254</v>
      </c>
      <c r="H11" s="263" t="s">
        <v>111</v>
      </c>
      <c r="I11" s="264">
        <v>22143</v>
      </c>
      <c r="J11" s="229">
        <f t="shared" ca="1" si="0"/>
        <v>64</v>
      </c>
      <c r="K11" s="261"/>
      <c r="L11" s="262">
        <v>2</v>
      </c>
      <c r="M11" s="262">
        <v>2</v>
      </c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 t="s">
        <v>540</v>
      </c>
    </row>
    <row r="12" spans="1:24" x14ac:dyDescent="0.3">
      <c r="A12" s="44"/>
      <c r="B12" s="37"/>
      <c r="C12" s="233">
        <v>245</v>
      </c>
      <c r="D12" s="260" t="s">
        <v>92</v>
      </c>
      <c r="E12" s="265" t="s">
        <v>136</v>
      </c>
      <c r="F12" s="269" t="s">
        <v>414</v>
      </c>
      <c r="G12" s="265" t="s">
        <v>254</v>
      </c>
      <c r="H12" s="259" t="s">
        <v>136</v>
      </c>
      <c r="I12" s="261">
        <v>22927</v>
      </c>
      <c r="J12" s="229">
        <f t="shared" ca="1" si="0"/>
        <v>62</v>
      </c>
      <c r="K12" s="259"/>
      <c r="L12" s="262">
        <v>2</v>
      </c>
      <c r="M12" s="262">
        <v>2</v>
      </c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 t="s">
        <v>542</v>
      </c>
    </row>
    <row r="13" spans="1:24" x14ac:dyDescent="0.3">
      <c r="A13" s="44"/>
      <c r="B13" s="37"/>
      <c r="C13" s="259">
        <v>6127</v>
      </c>
      <c r="D13" s="260" t="s">
        <v>92</v>
      </c>
      <c r="E13" s="313" t="s">
        <v>511</v>
      </c>
      <c r="F13" s="259" t="s">
        <v>543</v>
      </c>
      <c r="G13" s="259" t="s">
        <v>258</v>
      </c>
      <c r="H13" s="259" t="s">
        <v>101</v>
      </c>
      <c r="I13" s="261">
        <v>31341</v>
      </c>
      <c r="J13" s="229">
        <f t="shared" ca="1" si="0"/>
        <v>39</v>
      </c>
      <c r="K13" s="259"/>
      <c r="L13" s="262">
        <v>2</v>
      </c>
      <c r="M13" s="262">
        <v>2</v>
      </c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 t="s">
        <v>544</v>
      </c>
    </row>
    <row r="14" spans="1:24" x14ac:dyDescent="0.3">
      <c r="A14" s="44"/>
      <c r="B14" s="37"/>
      <c r="C14" s="259">
        <v>5171</v>
      </c>
      <c r="D14" s="260" t="s">
        <v>92</v>
      </c>
      <c r="E14" s="313" t="s">
        <v>511</v>
      </c>
      <c r="F14" s="259" t="s">
        <v>545</v>
      </c>
      <c r="G14" s="259" t="s">
        <v>258</v>
      </c>
      <c r="H14" s="259" t="s">
        <v>101</v>
      </c>
      <c r="I14" s="261">
        <v>28310</v>
      </c>
      <c r="J14" s="229">
        <f t="shared" ca="1" si="0"/>
        <v>47</v>
      </c>
      <c r="K14" s="261"/>
      <c r="L14" s="262">
        <v>2</v>
      </c>
      <c r="M14" s="262">
        <v>4</v>
      </c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 t="s">
        <v>546</v>
      </c>
    </row>
    <row r="15" spans="1:24" x14ac:dyDescent="0.3">
      <c r="A15" s="44"/>
      <c r="B15" s="37"/>
      <c r="C15" s="259">
        <v>900</v>
      </c>
      <c r="D15" s="260" t="s">
        <v>92</v>
      </c>
      <c r="E15" s="313" t="s">
        <v>511</v>
      </c>
      <c r="F15" s="313" t="s">
        <v>547</v>
      </c>
      <c r="G15" s="259" t="s">
        <v>258</v>
      </c>
      <c r="H15" s="259" t="s">
        <v>101</v>
      </c>
      <c r="I15" s="261">
        <v>15902</v>
      </c>
      <c r="J15" s="229">
        <f t="shared" ca="1" si="0"/>
        <v>81</v>
      </c>
      <c r="K15" s="261"/>
      <c r="L15" s="262">
        <v>2</v>
      </c>
      <c r="M15" s="262">
        <v>2</v>
      </c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 t="s">
        <v>548</v>
      </c>
    </row>
    <row r="16" spans="1:24" x14ac:dyDescent="0.3">
      <c r="A16" s="44"/>
      <c r="B16" s="37"/>
      <c r="C16" s="259">
        <v>80</v>
      </c>
      <c r="D16" s="260" t="s">
        <v>92</v>
      </c>
      <c r="E16" s="313" t="s">
        <v>511</v>
      </c>
      <c r="F16" s="259" t="s">
        <v>549</v>
      </c>
      <c r="G16" s="259" t="s">
        <v>258</v>
      </c>
      <c r="H16" s="259" t="s">
        <v>101</v>
      </c>
      <c r="I16" s="261">
        <v>22102</v>
      </c>
      <c r="J16" s="229">
        <f t="shared" ca="1" si="0"/>
        <v>64</v>
      </c>
      <c r="K16" s="261"/>
      <c r="L16" s="262">
        <v>2</v>
      </c>
      <c r="M16" s="262">
        <v>4</v>
      </c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 t="s">
        <v>550</v>
      </c>
    </row>
    <row r="17" spans="1:24" x14ac:dyDescent="0.3">
      <c r="A17" s="44"/>
      <c r="B17" s="37"/>
      <c r="C17" s="259">
        <v>525</v>
      </c>
      <c r="D17" s="260" t="s">
        <v>92</v>
      </c>
      <c r="E17" s="313" t="s">
        <v>511</v>
      </c>
      <c r="F17" s="259" t="s">
        <v>337</v>
      </c>
      <c r="G17" s="259" t="s">
        <v>254</v>
      </c>
      <c r="H17" s="259" t="s">
        <v>101</v>
      </c>
      <c r="I17" s="261">
        <v>24668</v>
      </c>
      <c r="J17" s="229">
        <f t="shared" ca="1" si="0"/>
        <v>57</v>
      </c>
      <c r="K17" s="261"/>
      <c r="L17" s="262">
        <v>2</v>
      </c>
      <c r="M17" s="262">
        <v>3</v>
      </c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 t="s">
        <v>512</v>
      </c>
    </row>
    <row r="18" spans="1:24" x14ac:dyDescent="0.3">
      <c r="A18" s="44"/>
      <c r="B18" s="37"/>
      <c r="C18" s="259">
        <v>759</v>
      </c>
      <c r="D18" s="260" t="s">
        <v>92</v>
      </c>
      <c r="E18" s="313" t="s">
        <v>511</v>
      </c>
      <c r="F18" s="259" t="s">
        <v>551</v>
      </c>
      <c r="G18" s="259" t="s">
        <v>258</v>
      </c>
      <c r="H18" s="259" t="s">
        <v>101</v>
      </c>
      <c r="I18" s="261">
        <v>19920</v>
      </c>
      <c r="J18" s="229">
        <f t="shared" ca="1" si="0"/>
        <v>70</v>
      </c>
      <c r="K18" s="318"/>
      <c r="L18" s="262">
        <v>2</v>
      </c>
      <c r="M18" s="262">
        <v>4</v>
      </c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 t="s">
        <v>552</v>
      </c>
    </row>
    <row r="19" spans="1:24" x14ac:dyDescent="0.3">
      <c r="A19" s="44"/>
      <c r="B19" s="37"/>
      <c r="C19" s="259"/>
      <c r="D19" s="260"/>
      <c r="E19" s="313"/>
      <c r="F19" s="259"/>
      <c r="G19" s="259"/>
      <c r="H19" s="259"/>
      <c r="I19" s="261"/>
      <c r="J19" s="229">
        <f t="shared" ca="1" si="0"/>
        <v>125</v>
      </c>
      <c r="K19" s="261"/>
      <c r="L19" s="262"/>
      <c r="M19" s="262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</row>
    <row r="20" spans="1:24" x14ac:dyDescent="0.3">
      <c r="A20" s="44"/>
      <c r="B20" s="37"/>
      <c r="C20" s="259"/>
      <c r="D20" s="260"/>
      <c r="E20" s="313"/>
      <c r="F20" s="259"/>
      <c r="G20" s="259"/>
      <c r="H20" s="259"/>
      <c r="I20" s="261"/>
      <c r="J20" s="229">
        <f t="shared" ca="1" si="0"/>
        <v>125</v>
      </c>
      <c r="K20" s="259"/>
      <c r="L20" s="262"/>
      <c r="M20" s="262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</row>
    <row r="21" spans="1:24" x14ac:dyDescent="0.3">
      <c r="A21" s="44"/>
      <c r="B21" s="37"/>
      <c r="C21" s="38"/>
      <c r="D21" s="39"/>
      <c r="E21" s="319"/>
      <c r="F21" s="38"/>
      <c r="G21" s="38"/>
      <c r="H21" s="38"/>
      <c r="I21" s="40"/>
      <c r="J21" s="229">
        <f t="shared" ca="1" si="0"/>
        <v>125</v>
      </c>
      <c r="K21" s="34"/>
      <c r="L21" s="305"/>
      <c r="M21" s="30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</row>
    <row r="22" spans="1:24" x14ac:dyDescent="0.3">
      <c r="A22" s="44"/>
      <c r="B22" s="37"/>
      <c r="C22" s="38"/>
      <c r="D22" s="39"/>
      <c r="E22" s="319"/>
      <c r="F22" s="38"/>
      <c r="G22" s="38"/>
      <c r="H22" s="38"/>
      <c r="I22" s="40"/>
      <c r="J22" s="229">
        <f t="shared" ca="1" si="0"/>
        <v>125</v>
      </c>
      <c r="K22" s="38"/>
      <c r="L22" s="308"/>
      <c r="M22" s="308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</row>
    <row r="23" spans="1:24" x14ac:dyDescent="0.3">
      <c r="A23" s="44"/>
      <c r="B23" s="37"/>
      <c r="C23" s="38"/>
      <c r="D23" s="39"/>
      <c r="E23" s="38"/>
      <c r="F23" s="38"/>
      <c r="G23" s="38"/>
      <c r="H23" s="38"/>
      <c r="I23" s="40"/>
      <c r="J23" s="229">
        <f t="shared" ca="1" si="0"/>
        <v>125</v>
      </c>
      <c r="K23" s="40"/>
      <c r="L23" s="308"/>
      <c r="M23" s="308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</row>
    <row r="24" spans="1:24" x14ac:dyDescent="0.3">
      <c r="A24" s="44"/>
      <c r="B24" s="37"/>
      <c r="C24" s="38"/>
      <c r="D24" s="39"/>
      <c r="E24" s="38"/>
      <c r="F24" s="38"/>
      <c r="G24" s="38"/>
      <c r="H24" s="38"/>
      <c r="I24" s="40"/>
      <c r="J24" s="229">
        <f t="shared" ca="1" si="0"/>
        <v>125</v>
      </c>
      <c r="K24" s="40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</row>
    <row r="25" spans="1:24" x14ac:dyDescent="0.3">
      <c r="A25" s="44"/>
      <c r="B25" s="37"/>
      <c r="C25" s="38"/>
      <c r="D25" s="39"/>
      <c r="E25" s="38"/>
      <c r="F25" s="38"/>
      <c r="G25" s="38"/>
      <c r="H25" s="38"/>
      <c r="I25" s="40"/>
      <c r="J25" s="229">
        <f t="shared" ca="1" si="0"/>
        <v>125</v>
      </c>
      <c r="K25" s="40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</row>
    <row r="26" spans="1:24" x14ac:dyDescent="0.3">
      <c r="A26" s="44"/>
      <c r="B26" s="37"/>
      <c r="C26" s="38"/>
      <c r="D26" s="38"/>
      <c r="E26" s="319"/>
      <c r="F26" s="38"/>
      <c r="G26" s="38"/>
      <c r="H26" s="38"/>
      <c r="I26" s="40"/>
      <c r="J26" s="229">
        <f t="shared" ca="1" si="0"/>
        <v>125</v>
      </c>
      <c r="K26" s="40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</row>
    <row r="27" spans="1:24" x14ac:dyDescent="0.3">
      <c r="A27" s="44"/>
      <c r="B27" s="37"/>
      <c r="C27" s="38"/>
      <c r="D27" s="38"/>
      <c r="E27" s="319"/>
      <c r="F27" s="38"/>
      <c r="G27" s="38"/>
      <c r="H27" s="38"/>
      <c r="I27" s="40"/>
      <c r="J27" s="229">
        <f t="shared" ca="1" si="0"/>
        <v>125</v>
      </c>
      <c r="K27" s="40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2"/>
    </row>
    <row r="28" spans="1:24" x14ac:dyDescent="0.3">
      <c r="A28" s="44"/>
      <c r="B28" s="37"/>
      <c r="C28" s="38"/>
      <c r="D28" s="38"/>
      <c r="E28" s="319"/>
      <c r="F28" s="38"/>
      <c r="G28" s="38"/>
      <c r="H28" s="38"/>
      <c r="I28" s="40"/>
      <c r="J28" s="229">
        <f t="shared" ca="1" si="0"/>
        <v>125</v>
      </c>
      <c r="K28" s="40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2"/>
    </row>
    <row r="29" spans="1:24" x14ac:dyDescent="0.3">
      <c r="A29" s="44"/>
      <c r="B29" s="37"/>
      <c r="C29" s="38"/>
      <c r="D29" s="38"/>
      <c r="E29" s="319"/>
      <c r="F29" s="38"/>
      <c r="G29" s="38"/>
      <c r="H29" s="38"/>
      <c r="I29" s="40"/>
      <c r="J29" s="229">
        <f t="shared" ca="1" si="0"/>
        <v>125</v>
      </c>
      <c r="K29" s="40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2"/>
    </row>
    <row r="30" spans="1:24" x14ac:dyDescent="0.3">
      <c r="A30" s="44"/>
      <c r="B30" s="37"/>
      <c r="C30" s="38"/>
      <c r="D30" s="38"/>
      <c r="E30" s="319"/>
      <c r="F30" s="38"/>
      <c r="G30" s="38"/>
      <c r="H30" s="38"/>
      <c r="I30" s="40"/>
      <c r="J30" s="229">
        <f t="shared" ca="1" si="0"/>
        <v>125</v>
      </c>
      <c r="K30" s="40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2"/>
    </row>
    <row r="31" spans="1:24" x14ac:dyDescent="0.3">
      <c r="A31" s="44"/>
      <c r="B31" s="37"/>
      <c r="C31" s="38"/>
      <c r="D31" s="38"/>
      <c r="E31" s="319"/>
      <c r="F31" s="38"/>
      <c r="G31" s="38"/>
      <c r="H31" s="38"/>
      <c r="I31" s="40"/>
      <c r="J31" s="229">
        <f t="shared" ca="1" si="0"/>
        <v>125</v>
      </c>
      <c r="K31" s="40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2"/>
    </row>
    <row r="32" spans="1:24" x14ac:dyDescent="0.3">
      <c r="A32" s="44"/>
      <c r="B32" s="37"/>
      <c r="C32" s="38"/>
      <c r="D32" s="38"/>
      <c r="E32" s="319"/>
      <c r="F32" s="38"/>
      <c r="G32" s="38"/>
      <c r="H32" s="38"/>
      <c r="I32" s="40"/>
      <c r="J32" s="229">
        <f t="shared" ca="1" si="0"/>
        <v>125</v>
      </c>
      <c r="K32" s="40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2"/>
    </row>
    <row r="33" spans="1:24" x14ac:dyDescent="0.3">
      <c r="A33" s="44"/>
      <c r="B33" s="37"/>
      <c r="C33" s="38"/>
      <c r="D33" s="38"/>
      <c r="E33" s="319"/>
      <c r="F33" s="38"/>
      <c r="G33" s="38"/>
      <c r="H33" s="38"/>
      <c r="I33" s="40"/>
      <c r="J33" s="229">
        <f t="shared" ca="1" si="0"/>
        <v>125</v>
      </c>
      <c r="K33" s="40"/>
      <c r="L33" s="41"/>
      <c r="M33" s="41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2"/>
    </row>
    <row r="34" spans="1:24" x14ac:dyDescent="0.3">
      <c r="A34" s="44"/>
      <c r="B34" s="37"/>
      <c r="C34" s="38"/>
      <c r="D34" s="38"/>
      <c r="E34" s="319"/>
      <c r="F34" s="38"/>
      <c r="G34" s="38"/>
      <c r="H34" s="38"/>
      <c r="I34" s="40"/>
      <c r="J34" s="229">
        <f t="shared" ref="J34:J51" ca="1" si="1">INT((TODAY()-I34)/365.25)</f>
        <v>125</v>
      </c>
      <c r="K34" s="40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2"/>
    </row>
    <row r="35" spans="1:24" x14ac:dyDescent="0.3">
      <c r="A35" s="44"/>
      <c r="B35" s="37"/>
      <c r="C35" s="38"/>
      <c r="D35" s="39"/>
      <c r="E35" s="47"/>
      <c r="F35" s="38"/>
      <c r="G35" s="38"/>
      <c r="H35" s="38"/>
      <c r="I35" s="40"/>
      <c r="J35" s="229">
        <f t="shared" ca="1" si="1"/>
        <v>125</v>
      </c>
      <c r="K35" s="40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2"/>
    </row>
    <row r="36" spans="1:24" x14ac:dyDescent="0.3">
      <c r="A36" s="44"/>
      <c r="B36" s="37"/>
      <c r="C36" s="38"/>
      <c r="D36" s="39"/>
      <c r="E36" s="47"/>
      <c r="F36" s="38"/>
      <c r="G36" s="38"/>
      <c r="H36" s="38"/>
      <c r="I36" s="40"/>
      <c r="J36" s="229">
        <f t="shared" ca="1" si="1"/>
        <v>125</v>
      </c>
      <c r="K36" s="40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2"/>
    </row>
    <row r="37" spans="1:24" x14ac:dyDescent="0.3">
      <c r="A37" s="44"/>
      <c r="B37" s="37"/>
      <c r="C37" s="38"/>
      <c r="D37" s="39"/>
      <c r="E37" s="47"/>
      <c r="F37" s="38"/>
      <c r="G37" s="38"/>
      <c r="H37" s="38"/>
      <c r="I37" s="40"/>
      <c r="J37" s="229">
        <f t="shared" ca="1" si="1"/>
        <v>125</v>
      </c>
      <c r="K37" s="40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2"/>
    </row>
    <row r="38" spans="1:24" x14ac:dyDescent="0.3">
      <c r="A38" s="44"/>
      <c r="B38" s="37"/>
      <c r="C38" s="38"/>
      <c r="D38" s="39"/>
      <c r="E38" s="47"/>
      <c r="F38" s="38"/>
      <c r="G38" s="38"/>
      <c r="H38" s="38"/>
      <c r="I38" s="40"/>
      <c r="J38" s="229">
        <f t="shared" ca="1" si="1"/>
        <v>125</v>
      </c>
      <c r="K38" s="40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2"/>
    </row>
    <row r="39" spans="1:24" x14ac:dyDescent="0.3">
      <c r="A39" s="44"/>
      <c r="B39" s="37"/>
      <c r="C39" s="38"/>
      <c r="D39" s="39"/>
      <c r="E39" s="47"/>
      <c r="F39" s="38"/>
      <c r="G39" s="38"/>
      <c r="H39" s="38"/>
      <c r="I39" s="40"/>
      <c r="J39" s="229">
        <f t="shared" ca="1" si="1"/>
        <v>125</v>
      </c>
      <c r="K39" s="40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2"/>
    </row>
    <row r="40" spans="1:24" x14ac:dyDescent="0.3">
      <c r="A40" s="44"/>
      <c r="B40" s="37"/>
      <c r="C40" s="38"/>
      <c r="D40" s="39"/>
      <c r="E40" s="47"/>
      <c r="F40" s="38"/>
      <c r="G40" s="38"/>
      <c r="H40" s="38"/>
      <c r="I40" s="40"/>
      <c r="J40" s="229">
        <f t="shared" ca="1" si="1"/>
        <v>125</v>
      </c>
      <c r="K40" s="40"/>
      <c r="L40" s="46"/>
      <c r="M40" s="46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2"/>
    </row>
    <row r="41" spans="1:24" x14ac:dyDescent="0.3">
      <c r="A41" s="44"/>
      <c r="B41" s="37"/>
      <c r="C41" s="38"/>
      <c r="D41" s="39"/>
      <c r="E41" s="47"/>
      <c r="F41" s="38"/>
      <c r="G41" s="38"/>
      <c r="H41" s="38"/>
      <c r="I41" s="40"/>
      <c r="J41" s="229">
        <f t="shared" ca="1" si="1"/>
        <v>125</v>
      </c>
      <c r="K41" s="40"/>
      <c r="L41" s="46"/>
      <c r="M41" s="46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2"/>
    </row>
    <row r="42" spans="1:24" x14ac:dyDescent="0.3">
      <c r="A42" s="44"/>
      <c r="B42" s="37"/>
      <c r="C42" s="38"/>
      <c r="D42" s="39"/>
      <c r="E42" s="47"/>
      <c r="F42" s="38"/>
      <c r="G42" s="38"/>
      <c r="H42" s="38"/>
      <c r="I42" s="40"/>
      <c r="J42" s="229">
        <f t="shared" ca="1" si="1"/>
        <v>125</v>
      </c>
      <c r="K42" s="40"/>
      <c r="L42" s="46"/>
      <c r="M42" s="46"/>
      <c r="N42" s="41"/>
      <c r="O42" s="41"/>
      <c r="P42" s="41"/>
      <c r="Q42" s="41"/>
      <c r="R42" s="41"/>
      <c r="S42" s="41"/>
      <c r="T42" s="41"/>
      <c r="U42" s="41"/>
      <c r="V42" s="41"/>
      <c r="W42" s="41"/>
      <c r="X42" s="42"/>
    </row>
    <row r="43" spans="1:24" x14ac:dyDescent="0.3">
      <c r="A43" s="44"/>
      <c r="B43" s="37"/>
      <c r="C43" s="38"/>
      <c r="D43" s="39"/>
      <c r="E43" s="319"/>
      <c r="F43" s="38"/>
      <c r="G43" s="38"/>
      <c r="H43" s="38"/>
      <c r="I43" s="40"/>
      <c r="J43" s="229">
        <f t="shared" ca="1" si="1"/>
        <v>125</v>
      </c>
      <c r="K43" s="40"/>
      <c r="L43" s="46"/>
      <c r="M43" s="46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2"/>
    </row>
    <row r="44" spans="1:24" x14ac:dyDescent="0.3">
      <c r="A44" s="44"/>
      <c r="B44" s="37"/>
      <c r="C44" s="38"/>
      <c r="D44" s="39"/>
      <c r="E44" s="38"/>
      <c r="F44" s="38"/>
      <c r="G44" s="38"/>
      <c r="H44" s="38"/>
      <c r="I44" s="40"/>
      <c r="J44" s="229">
        <f t="shared" ca="1" si="1"/>
        <v>125</v>
      </c>
      <c r="K44" s="40"/>
      <c r="L44" s="46"/>
      <c r="M44" s="46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2"/>
    </row>
    <row r="45" spans="1:24" x14ac:dyDescent="0.3">
      <c r="A45" s="44"/>
      <c r="B45" s="37"/>
      <c r="C45" s="38"/>
      <c r="D45" s="39"/>
      <c r="E45" s="319"/>
      <c r="F45" s="38"/>
      <c r="G45" s="38"/>
      <c r="H45" s="38"/>
      <c r="I45" s="40"/>
      <c r="J45" s="229">
        <f t="shared" ca="1" si="1"/>
        <v>125</v>
      </c>
      <c r="K45" s="40"/>
      <c r="L45" s="46"/>
      <c r="M45" s="46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2"/>
    </row>
    <row r="46" spans="1:24" x14ac:dyDescent="0.3">
      <c r="A46" s="44"/>
      <c r="B46" s="37"/>
      <c r="C46" s="38"/>
      <c r="D46" s="39"/>
      <c r="E46" s="319"/>
      <c r="F46" s="38"/>
      <c r="G46" s="38"/>
      <c r="H46" s="38"/>
      <c r="I46" s="40"/>
      <c r="J46" s="229">
        <f t="shared" ca="1" si="1"/>
        <v>125</v>
      </c>
      <c r="K46" s="40"/>
      <c r="L46" s="46"/>
      <c r="M46" s="46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2"/>
    </row>
    <row r="47" spans="1:24" x14ac:dyDescent="0.3">
      <c r="A47" s="44"/>
      <c r="B47" s="37"/>
      <c r="C47" s="38"/>
      <c r="D47" s="39"/>
      <c r="E47" s="319"/>
      <c r="F47" s="38"/>
      <c r="G47" s="38"/>
      <c r="H47" s="38"/>
      <c r="I47" s="40"/>
      <c r="J47" s="229">
        <f t="shared" ca="1" si="1"/>
        <v>125</v>
      </c>
      <c r="K47" s="40"/>
      <c r="L47" s="46"/>
      <c r="M47" s="46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2"/>
    </row>
    <row r="48" spans="1:24" x14ac:dyDescent="0.3">
      <c r="A48" s="44"/>
      <c r="B48" s="37"/>
      <c r="C48" s="38"/>
      <c r="D48" s="39"/>
      <c r="E48" s="319"/>
      <c r="F48" s="38"/>
      <c r="G48" s="38"/>
      <c r="H48" s="38"/>
      <c r="I48" s="40"/>
      <c r="J48" s="229">
        <f t="shared" ca="1" si="1"/>
        <v>125</v>
      </c>
      <c r="K48" s="40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2"/>
    </row>
    <row r="49" spans="1:24" x14ac:dyDescent="0.3">
      <c r="A49" s="44"/>
      <c r="B49" s="37"/>
      <c r="C49" s="38"/>
      <c r="D49" s="39"/>
      <c r="E49" s="319"/>
      <c r="F49" s="38"/>
      <c r="G49" s="38"/>
      <c r="H49" s="38"/>
      <c r="I49" s="40"/>
      <c r="J49" s="229">
        <f t="shared" ca="1" si="1"/>
        <v>125</v>
      </c>
      <c r="K49" s="40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2"/>
    </row>
    <row r="50" spans="1:24" x14ac:dyDescent="0.3">
      <c r="A50" s="44"/>
      <c r="B50" s="37"/>
      <c r="C50" s="38"/>
      <c r="D50" s="39"/>
      <c r="E50" s="319"/>
      <c r="F50" s="38"/>
      <c r="G50" s="38"/>
      <c r="H50" s="38"/>
      <c r="I50" s="40"/>
      <c r="J50" s="229">
        <f t="shared" ca="1" si="1"/>
        <v>125</v>
      </c>
      <c r="K50" s="40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2"/>
    </row>
    <row r="51" spans="1:24" x14ac:dyDescent="0.3">
      <c r="A51" s="44"/>
      <c r="B51" s="37"/>
      <c r="C51" s="38"/>
      <c r="D51" s="39"/>
      <c r="E51" s="319"/>
      <c r="F51" s="38"/>
      <c r="G51" s="38"/>
      <c r="H51" s="38"/>
      <c r="I51" s="40"/>
      <c r="J51" s="229">
        <f t="shared" ca="1" si="1"/>
        <v>125</v>
      </c>
      <c r="K51" s="320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2"/>
    </row>
  </sheetData>
  <conditionalFormatting sqref="F2">
    <cfRule type="duplicateValues" dxfId="101" priority="1" stopIfTrue="1"/>
    <cfRule type="duplicateValues" dxfId="100" priority="2" stopIfTrue="1"/>
    <cfRule type="duplicateValues" dxfId="99" priority="3" stopIfTrue="1"/>
    <cfRule type="duplicateValues" dxfId="98" priority="4" stopIfTrue="1"/>
  </conditionalFormatting>
  <conditionalFormatting sqref="F2:F4 F6:F8">
    <cfRule type="duplicateValues" dxfId="97" priority="24" stopIfTrue="1"/>
  </conditionalFormatting>
  <conditionalFormatting sqref="F2:F4 F8">
    <cfRule type="duplicateValues" dxfId="96" priority="19" stopIfTrue="1"/>
  </conditionalFormatting>
  <conditionalFormatting sqref="F2:F4">
    <cfRule type="duplicateValues" dxfId="95" priority="22" stopIfTrue="1"/>
  </conditionalFormatting>
  <conditionalFormatting sqref="F6:F7">
    <cfRule type="duplicateValues" dxfId="94" priority="25" stopIfTrue="1"/>
  </conditionalFormatting>
  <conditionalFormatting sqref="F8">
    <cfRule type="duplicateValues" dxfId="93" priority="23" stopIfTrue="1"/>
  </conditionalFormatting>
  <conditionalFormatting sqref="F9:F10 F13">
    <cfRule type="duplicateValues" dxfId="92" priority="88" stopIfTrue="1"/>
  </conditionalFormatting>
  <conditionalFormatting sqref="F9:F10 F13:F14 F16:F18">
    <cfRule type="duplicateValues" dxfId="91" priority="82" stopIfTrue="1"/>
  </conditionalFormatting>
  <conditionalFormatting sqref="F9:F10 F13:F14 F16:F22">
    <cfRule type="duplicateValues" dxfId="90" priority="55556" stopIfTrue="1"/>
  </conditionalFormatting>
  <conditionalFormatting sqref="F9:F10 F13:F14 F16:F23">
    <cfRule type="duplicateValues" dxfId="89" priority="55" stopIfTrue="1"/>
  </conditionalFormatting>
  <conditionalFormatting sqref="F9:F10 F13:F14 F16:F24">
    <cfRule type="duplicateValues" dxfId="88" priority="55553" stopIfTrue="1"/>
  </conditionalFormatting>
  <conditionalFormatting sqref="F9:F10 F13:F14 F16:F25">
    <cfRule type="duplicateValues" dxfId="87" priority="57" stopIfTrue="1"/>
  </conditionalFormatting>
  <conditionalFormatting sqref="F9:F10 F13:F14 F16:F32">
    <cfRule type="duplicateValues" dxfId="86" priority="55550" stopIfTrue="1"/>
  </conditionalFormatting>
  <conditionalFormatting sqref="F9:F10 F13:F14 F16:F33">
    <cfRule type="duplicateValues" dxfId="85" priority="58" stopIfTrue="1"/>
  </conditionalFormatting>
  <conditionalFormatting sqref="F9:F10 F13:F14 F16:F45">
    <cfRule type="duplicateValues" dxfId="84" priority="55576" stopIfTrue="1"/>
  </conditionalFormatting>
  <conditionalFormatting sqref="F9:F10 F13:F14 F16:F46">
    <cfRule type="duplicateValues" dxfId="83" priority="55153" stopIfTrue="1"/>
  </conditionalFormatting>
  <conditionalFormatting sqref="F9:F10 F13:F14">
    <cfRule type="duplicateValues" dxfId="82" priority="87" stopIfTrue="1"/>
  </conditionalFormatting>
  <conditionalFormatting sqref="F9:F10 F16:F33">
    <cfRule type="duplicateValues" dxfId="81" priority="55547" stopIfTrue="1"/>
  </conditionalFormatting>
  <conditionalFormatting sqref="F10">
    <cfRule type="duplicateValues" dxfId="80" priority="116" stopIfTrue="1"/>
  </conditionalFormatting>
  <conditionalFormatting sqref="F13:F14 F9">
    <cfRule type="duplicateValues" dxfId="79" priority="83" stopIfTrue="1"/>
  </conditionalFormatting>
  <conditionalFormatting sqref="F13:F14">
    <cfRule type="duplicateValues" dxfId="78" priority="86" stopIfTrue="1"/>
  </conditionalFormatting>
  <conditionalFormatting sqref="F14">
    <cfRule type="duplicateValues" dxfId="77" priority="114" stopIfTrue="1"/>
  </conditionalFormatting>
  <conditionalFormatting sqref="F16:F19">
    <cfRule type="duplicateValues" dxfId="76" priority="84" stopIfTrue="1"/>
  </conditionalFormatting>
  <conditionalFormatting sqref="F17">
    <cfRule type="duplicateValues" dxfId="75" priority="110" stopIfTrue="1"/>
  </conditionalFormatting>
  <conditionalFormatting sqref="F18:F19 F9:F10 F16 F13:F14">
    <cfRule type="duplicateValues" dxfId="74" priority="109" stopIfTrue="1"/>
  </conditionalFormatting>
  <conditionalFormatting sqref="F18:F19">
    <cfRule type="duplicateValues" dxfId="73" priority="79" stopIfTrue="1"/>
  </conditionalFormatting>
  <conditionalFormatting sqref="F19">
    <cfRule type="duplicateValues" dxfId="72" priority="108" stopIfTrue="1"/>
  </conditionalFormatting>
  <conditionalFormatting sqref="F20">
    <cfRule type="duplicateValues" dxfId="71" priority="93" stopIfTrue="1"/>
  </conditionalFormatting>
  <conditionalFormatting sqref="F20:F36">
    <cfRule type="duplicateValues" dxfId="70" priority="55558" stopIfTrue="1"/>
  </conditionalFormatting>
  <conditionalFormatting sqref="F20:F37">
    <cfRule type="duplicateValues" dxfId="69" priority="54" stopIfTrue="1"/>
  </conditionalFormatting>
  <conditionalFormatting sqref="F20:F41 F9:F10 F13:F14">
    <cfRule type="duplicateValues" dxfId="68" priority="55148" stopIfTrue="1"/>
  </conditionalFormatting>
  <conditionalFormatting sqref="F20:F41">
    <cfRule type="duplicateValues" dxfId="67" priority="55151" stopIfTrue="1"/>
  </conditionalFormatting>
  <conditionalFormatting sqref="F21">
    <cfRule type="duplicateValues" dxfId="66" priority="103" stopIfTrue="1"/>
  </conditionalFormatting>
  <conditionalFormatting sqref="F21:F42 F9:F10 F13:F14">
    <cfRule type="duplicateValues" dxfId="65" priority="55131" stopIfTrue="1"/>
  </conditionalFormatting>
  <conditionalFormatting sqref="F21:F42">
    <cfRule type="duplicateValues" dxfId="64" priority="55135" stopIfTrue="1"/>
  </conditionalFormatting>
  <conditionalFormatting sqref="F22">
    <cfRule type="duplicateValues" dxfId="63" priority="107" stopIfTrue="1"/>
  </conditionalFormatting>
  <conditionalFormatting sqref="F22:F42 F20">
    <cfRule type="duplicateValues" dxfId="62" priority="55138" stopIfTrue="1"/>
  </conditionalFormatting>
  <conditionalFormatting sqref="F23">
    <cfRule type="duplicateValues" dxfId="61" priority="76" stopIfTrue="1"/>
  </conditionalFormatting>
  <conditionalFormatting sqref="F23:F25">
    <cfRule type="duplicateValues" dxfId="60" priority="62" stopIfTrue="1"/>
  </conditionalFormatting>
  <conditionalFormatting sqref="F23:F43 F20:F21">
    <cfRule type="duplicateValues" dxfId="59" priority="55121" stopIfTrue="1"/>
  </conditionalFormatting>
  <conditionalFormatting sqref="F24">
    <cfRule type="duplicateValues" dxfId="58" priority="104" stopIfTrue="1"/>
  </conditionalFormatting>
  <conditionalFormatting sqref="F24:F26">
    <cfRule type="duplicateValues" dxfId="57" priority="91" stopIfTrue="1"/>
  </conditionalFormatting>
  <conditionalFormatting sqref="F24:F44 F9:F10 F21:F22 F13:F14 F16:F19">
    <cfRule type="duplicateValues" dxfId="56" priority="55141" stopIfTrue="1"/>
  </conditionalFormatting>
  <conditionalFormatting sqref="F25">
    <cfRule type="duplicateValues" dxfId="55" priority="74" stopIfTrue="1"/>
  </conditionalFormatting>
  <conditionalFormatting sqref="F25:F45 F9:F10 F22:F23 F13:F14 F16:F20">
    <cfRule type="duplicateValues" dxfId="54" priority="55124" stopIfTrue="1"/>
  </conditionalFormatting>
  <conditionalFormatting sqref="F26">
    <cfRule type="duplicateValues" dxfId="53" priority="100" stopIfTrue="1"/>
  </conditionalFormatting>
  <conditionalFormatting sqref="F26:F48">
    <cfRule type="duplicateValues" dxfId="52" priority="72132" stopIfTrue="1"/>
  </conditionalFormatting>
  <conditionalFormatting sqref="F27">
    <cfRule type="duplicateValues" dxfId="51" priority="73" stopIfTrue="1"/>
  </conditionalFormatting>
  <conditionalFormatting sqref="F27:F49 F51">
    <cfRule type="duplicateValues" dxfId="50" priority="72108" stopIfTrue="1"/>
  </conditionalFormatting>
  <conditionalFormatting sqref="F28">
    <cfRule type="duplicateValues" dxfId="49" priority="99" stopIfTrue="1"/>
  </conditionalFormatting>
  <conditionalFormatting sqref="F28:F48 F26">
    <cfRule type="duplicateValues" dxfId="48" priority="55145" stopIfTrue="1"/>
  </conditionalFormatting>
  <conditionalFormatting sqref="F29:F49 F27">
    <cfRule type="duplicateValues" dxfId="47" priority="55128" stopIfTrue="1"/>
  </conditionalFormatting>
  <conditionalFormatting sqref="F34">
    <cfRule type="duplicateValues" dxfId="46" priority="95" stopIfTrue="1"/>
  </conditionalFormatting>
  <conditionalFormatting sqref="F34:F51">
    <cfRule type="duplicateValues" dxfId="45" priority="72151" stopIfTrue="1"/>
  </conditionalFormatting>
  <conditionalFormatting sqref="F35">
    <cfRule type="duplicateValues" dxfId="44" priority="69" stopIfTrue="1"/>
  </conditionalFormatting>
  <conditionalFormatting sqref="F35:F51">
    <cfRule type="duplicateValues" dxfId="43" priority="72148" stopIfTrue="1"/>
  </conditionalFormatting>
  <conditionalFormatting sqref="F36">
    <cfRule type="duplicateValues" dxfId="42" priority="96" stopIfTrue="1"/>
  </conditionalFormatting>
  <conditionalFormatting sqref="F36:F51 F34">
    <cfRule type="duplicateValues" dxfId="41" priority="72149" stopIfTrue="1"/>
  </conditionalFormatting>
  <conditionalFormatting sqref="F37:F51 F35">
    <cfRule type="duplicateValues" dxfId="40" priority="72146" stopIfTrue="1"/>
  </conditionalFormatting>
  <conditionalFormatting sqref="F37:F51">
    <cfRule type="duplicateValues" dxfId="39" priority="72152" stopIfTrue="1"/>
  </conditionalFormatting>
  <conditionalFormatting sqref="F38:F51">
    <cfRule type="duplicateValues" dxfId="38" priority="72145" stopIfTrue="1"/>
  </conditionalFormatting>
  <conditionalFormatting sqref="F42:F43">
    <cfRule type="duplicateValues" dxfId="37" priority="68" stopIfTrue="1"/>
  </conditionalFormatting>
  <conditionalFormatting sqref="F43:F44">
    <cfRule type="duplicateValues" dxfId="36" priority="94" stopIfTrue="1"/>
  </conditionalFormatting>
  <conditionalFormatting sqref="F43:F46">
    <cfRule type="duplicateValues" dxfId="35" priority="77" stopIfTrue="1"/>
  </conditionalFormatting>
  <conditionalFormatting sqref="F43:F51">
    <cfRule type="duplicateValues" dxfId="34" priority="72141" stopIfTrue="1"/>
  </conditionalFormatting>
  <conditionalFormatting sqref="F44:F47">
    <cfRule type="duplicateValues" dxfId="33" priority="105" stopIfTrue="1"/>
  </conditionalFormatting>
  <conditionalFormatting sqref="F44:F50">
    <cfRule type="duplicateValues" dxfId="32" priority="55968" stopIfTrue="1"/>
  </conditionalFormatting>
  <conditionalFormatting sqref="F44:F51">
    <cfRule type="duplicateValues" dxfId="31" priority="72134" stopIfTrue="1"/>
  </conditionalFormatting>
  <conditionalFormatting sqref="F45">
    <cfRule type="duplicateValues" dxfId="30" priority="60" stopIfTrue="1"/>
  </conditionalFormatting>
  <conditionalFormatting sqref="F45:F50">
    <cfRule type="duplicateValues" dxfId="29" priority="55989" stopIfTrue="1"/>
  </conditionalFormatting>
  <conditionalFormatting sqref="F45:F51">
    <cfRule type="duplicateValues" dxfId="28" priority="72133" stopIfTrue="1"/>
  </conditionalFormatting>
  <conditionalFormatting sqref="F46">
    <cfRule type="duplicateValues" dxfId="27" priority="89" stopIfTrue="1"/>
  </conditionalFormatting>
  <conditionalFormatting sqref="F46:F50 F26:F44">
    <cfRule type="duplicateValues" dxfId="26" priority="61" stopIfTrue="1"/>
  </conditionalFormatting>
  <conditionalFormatting sqref="F46:F50">
    <cfRule type="duplicateValues" dxfId="25" priority="63" stopIfTrue="1"/>
  </conditionalFormatting>
  <conditionalFormatting sqref="F46:F51">
    <cfRule type="duplicateValues" dxfId="24" priority="72138" stopIfTrue="1"/>
  </conditionalFormatting>
  <conditionalFormatting sqref="F47:F50 F27:F45">
    <cfRule type="duplicateValues" dxfId="23" priority="55941" stopIfTrue="1"/>
  </conditionalFormatting>
  <conditionalFormatting sqref="F47:F50">
    <cfRule type="duplicateValues" dxfId="22" priority="55939" stopIfTrue="1"/>
  </conditionalFormatting>
  <conditionalFormatting sqref="F48">
    <cfRule type="duplicateValues" dxfId="21" priority="78" stopIfTrue="1"/>
  </conditionalFormatting>
  <conditionalFormatting sqref="F49">
    <cfRule type="duplicateValues" dxfId="20" priority="106" stopIfTrue="1"/>
  </conditionalFormatting>
  <conditionalFormatting sqref="F49:F50">
    <cfRule type="duplicateValues" dxfId="19" priority="55963" stopIfTrue="1"/>
  </conditionalFormatting>
  <conditionalFormatting sqref="F49:F51 F20:F42 F47">
    <cfRule type="duplicateValues" dxfId="18" priority="72142" stopIfTrue="1"/>
  </conditionalFormatting>
  <conditionalFormatting sqref="F49:F51">
    <cfRule type="duplicateValues" dxfId="17" priority="72140" stopIfTrue="1"/>
  </conditionalFormatting>
  <conditionalFormatting sqref="F50">
    <cfRule type="duplicateValues" dxfId="16" priority="55988" stopIfTrue="1"/>
  </conditionalFormatting>
  <conditionalFormatting sqref="F50:F51 F20:F43 F48">
    <cfRule type="duplicateValues" dxfId="15" priority="72135" stopIfTrue="1"/>
  </conditionalFormatting>
  <conditionalFormatting sqref="F50:F51">
    <cfRule type="duplicateValues" dxfId="14" priority="72139" stopIfTrue="1"/>
  </conditionalFormatting>
  <conditionalFormatting sqref="F51">
    <cfRule type="duplicateValues" dxfId="13" priority="72" stopIfTrue="1"/>
  </conditionalFormatting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4B224-E094-44EA-80BE-D3B2B61B4085}">
  <sheetPr>
    <tabColor rgb="FF00FFCC"/>
  </sheetPr>
  <dimension ref="A1:AH153"/>
  <sheetViews>
    <sheetView showGridLines="0" topLeftCell="J1" workbookViewId="0">
      <selection activeCell="P94" sqref="P94"/>
    </sheetView>
  </sheetViews>
  <sheetFormatPr defaultRowHeight="14.4" x14ac:dyDescent="0.3"/>
  <cols>
    <col min="1" max="1" width="36.44140625" style="158" customWidth="1"/>
    <col min="2" max="4" width="23" customWidth="1"/>
    <col min="5" max="5" width="21.44140625" customWidth="1"/>
    <col min="6" max="6" width="20.5546875" customWidth="1"/>
    <col min="7" max="7" width="15.109375" customWidth="1"/>
    <col min="8" max="8" width="13" customWidth="1"/>
    <col min="9" max="9" width="19.5546875" customWidth="1"/>
    <col min="10" max="11" width="13.44140625" customWidth="1"/>
    <col min="12" max="12" width="13.6640625" customWidth="1"/>
    <col min="13" max="13" width="13.33203125" customWidth="1"/>
    <col min="14" max="14" width="15.6640625" customWidth="1"/>
    <col min="15" max="15" width="15.109375" customWidth="1"/>
    <col min="16" max="17" width="13.5546875" customWidth="1"/>
    <col min="18" max="18" width="15.109375" customWidth="1"/>
    <col min="19" max="19" width="13.5546875" customWidth="1"/>
    <col min="20" max="20" width="11.6640625" bestFit="1" customWidth="1"/>
    <col min="21" max="22" width="12" customWidth="1"/>
    <col min="23" max="23" width="10.88671875" customWidth="1"/>
    <col min="25" max="26" width="15.33203125" customWidth="1"/>
    <col min="28" max="28" width="13.6640625" customWidth="1"/>
    <col min="29" max="29" width="14.33203125" customWidth="1"/>
    <col min="30" max="30" width="16" customWidth="1"/>
    <col min="31" max="31" width="15.88671875" customWidth="1"/>
    <col min="32" max="32" width="18.6640625" customWidth="1"/>
    <col min="33" max="34" width="29.33203125" customWidth="1"/>
  </cols>
  <sheetData>
    <row r="1" spans="1:20" ht="15" thickBot="1" x14ac:dyDescent="0.35"/>
    <row r="2" spans="1:20" ht="15" thickBot="1" x14ac:dyDescent="0.35">
      <c r="A2" s="159" t="s">
        <v>553</v>
      </c>
    </row>
    <row r="3" spans="1:20" ht="15" thickBot="1" x14ac:dyDescent="0.35"/>
    <row r="4" spans="1:20" x14ac:dyDescent="0.3">
      <c r="B4" s="497" t="s">
        <v>25</v>
      </c>
      <c r="C4" s="499" t="s">
        <v>26</v>
      </c>
      <c r="D4" s="499" t="s">
        <v>231</v>
      </c>
      <c r="E4" s="501" t="s">
        <v>554</v>
      </c>
      <c r="F4" s="499" t="s">
        <v>61</v>
      </c>
      <c r="G4" s="503" t="s">
        <v>466</v>
      </c>
      <c r="H4" s="499" t="s">
        <v>235</v>
      </c>
      <c r="I4" s="503" t="s">
        <v>486</v>
      </c>
      <c r="J4" s="507" t="s">
        <v>64</v>
      </c>
      <c r="K4" s="507"/>
      <c r="L4" s="503" t="s">
        <v>555</v>
      </c>
      <c r="M4" s="503" t="s">
        <v>556</v>
      </c>
      <c r="N4" s="503" t="s">
        <v>557</v>
      </c>
      <c r="O4" s="503" t="s">
        <v>558</v>
      </c>
      <c r="P4" s="503" t="s">
        <v>559</v>
      </c>
      <c r="Q4" s="503" t="s">
        <v>560</v>
      </c>
      <c r="R4" s="503" t="s">
        <v>561</v>
      </c>
      <c r="S4" s="503" t="s">
        <v>562</v>
      </c>
      <c r="T4" s="505" t="s">
        <v>91</v>
      </c>
    </row>
    <row r="5" spans="1:20" ht="76.5" customHeight="1" x14ac:dyDescent="0.3">
      <c r="B5" s="498"/>
      <c r="C5" s="500"/>
      <c r="D5" s="500"/>
      <c r="E5" s="502"/>
      <c r="F5" s="500"/>
      <c r="G5" s="504"/>
      <c r="H5" s="500"/>
      <c r="I5" s="504"/>
      <c r="J5" s="160" t="s">
        <v>276</v>
      </c>
      <c r="K5" s="160" t="s">
        <v>56</v>
      </c>
      <c r="L5" s="504"/>
      <c r="M5" s="504"/>
      <c r="N5" s="504"/>
      <c r="O5" s="504"/>
      <c r="P5" s="504"/>
      <c r="Q5" s="504"/>
      <c r="R5" s="504"/>
      <c r="S5" s="504"/>
      <c r="T5" s="506"/>
    </row>
    <row r="6" spans="1:20" x14ac:dyDescent="0.3">
      <c r="B6" s="41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</row>
    <row r="7" spans="1:20" x14ac:dyDescent="0.3">
      <c r="B7" s="41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</row>
    <row r="8" spans="1:20" x14ac:dyDescent="0.3">
      <c r="B8" s="41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</row>
    <row r="9" spans="1:20" x14ac:dyDescent="0.3">
      <c r="B9" s="41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</row>
    <row r="10" spans="1:20" x14ac:dyDescent="0.3">
      <c r="B10" s="41"/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  <c r="S10" s="41"/>
      <c r="T10" s="41"/>
    </row>
    <row r="11" spans="1:20" x14ac:dyDescent="0.3"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</row>
    <row r="12" spans="1:20" x14ac:dyDescent="0.3"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</row>
    <row r="13" spans="1:20" x14ac:dyDescent="0.3"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</row>
    <row r="14" spans="1:20" x14ac:dyDescent="0.3"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</row>
    <row r="15" spans="1:20" x14ac:dyDescent="0.3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/>
      <c r="T15" s="41"/>
    </row>
    <row r="16" spans="1:20" ht="15" thickBot="1" x14ac:dyDescent="0.35"/>
    <row r="17" spans="1:23" ht="15" thickBot="1" x14ac:dyDescent="0.35">
      <c r="A17" s="159" t="s">
        <v>563</v>
      </c>
    </row>
    <row r="18" spans="1:23" x14ac:dyDescent="0.3">
      <c r="B18" s="497" t="s">
        <v>25</v>
      </c>
      <c r="C18" s="499" t="s">
        <v>58</v>
      </c>
      <c r="D18" s="499" t="s">
        <v>231</v>
      </c>
      <c r="E18" s="501" t="s">
        <v>554</v>
      </c>
      <c r="F18" s="499" t="s">
        <v>61</v>
      </c>
      <c r="G18" s="503" t="s">
        <v>466</v>
      </c>
      <c r="H18" s="499" t="s">
        <v>235</v>
      </c>
      <c r="I18" s="503" t="s">
        <v>486</v>
      </c>
      <c r="J18" s="514" t="s">
        <v>64</v>
      </c>
      <c r="K18" s="514"/>
      <c r="L18" s="503" t="s">
        <v>555</v>
      </c>
      <c r="M18" s="503" t="s">
        <v>564</v>
      </c>
      <c r="N18" s="503" t="s">
        <v>565</v>
      </c>
      <c r="O18" s="503" t="s">
        <v>566</v>
      </c>
      <c r="P18" s="503" t="s">
        <v>567</v>
      </c>
      <c r="Q18" s="503" t="s">
        <v>568</v>
      </c>
      <c r="R18" s="503" t="s">
        <v>569</v>
      </c>
      <c r="S18" s="508" t="s">
        <v>562</v>
      </c>
    </row>
    <row r="19" spans="1:23" ht="43.5" customHeight="1" x14ac:dyDescent="0.3">
      <c r="B19" s="498"/>
      <c r="C19" s="500"/>
      <c r="D19" s="500"/>
      <c r="E19" s="502"/>
      <c r="F19" s="500"/>
      <c r="G19" s="504"/>
      <c r="H19" s="500"/>
      <c r="I19" s="504"/>
      <c r="J19" s="160" t="s">
        <v>276</v>
      </c>
      <c r="K19" s="160" t="s">
        <v>56</v>
      </c>
      <c r="L19" s="504"/>
      <c r="M19" s="504"/>
      <c r="N19" s="504"/>
      <c r="O19" s="504"/>
      <c r="P19" s="504"/>
      <c r="Q19" s="504"/>
      <c r="R19" s="504"/>
      <c r="S19" s="509"/>
    </row>
    <row r="20" spans="1:23" x14ac:dyDescent="0.3"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</row>
    <row r="21" spans="1:23" x14ac:dyDescent="0.3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</row>
    <row r="22" spans="1:23" x14ac:dyDescent="0.3"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</row>
    <row r="23" spans="1:23" x14ac:dyDescent="0.3"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</row>
    <row r="24" spans="1:23" x14ac:dyDescent="0.3"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</row>
    <row r="25" spans="1:23" x14ac:dyDescent="0.3">
      <c r="B25" s="41"/>
      <c r="C25" s="41"/>
      <c r="D25" s="4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</row>
    <row r="26" spans="1:23" x14ac:dyDescent="0.3"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</row>
    <row r="27" spans="1:23" x14ac:dyDescent="0.3"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</row>
    <row r="28" spans="1:23" x14ac:dyDescent="0.3"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</row>
    <row r="29" spans="1:23" x14ac:dyDescent="0.3"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</row>
    <row r="30" spans="1:23" ht="15" thickBot="1" x14ac:dyDescent="0.35"/>
    <row r="31" spans="1:23" ht="15" thickBot="1" x14ac:dyDescent="0.35">
      <c r="A31" s="159" t="s">
        <v>570</v>
      </c>
    </row>
    <row r="32" spans="1:23" x14ac:dyDescent="0.3">
      <c r="B32" s="543" t="s">
        <v>25</v>
      </c>
      <c r="C32" s="512" t="s">
        <v>58</v>
      </c>
      <c r="D32" s="512" t="s">
        <v>231</v>
      </c>
      <c r="E32" s="501" t="s">
        <v>554</v>
      </c>
      <c r="F32" s="512" t="s">
        <v>61</v>
      </c>
      <c r="G32" s="501" t="s">
        <v>466</v>
      </c>
      <c r="H32" s="512" t="s">
        <v>235</v>
      </c>
      <c r="I32" s="501" t="s">
        <v>486</v>
      </c>
      <c r="J32" s="514" t="s">
        <v>64</v>
      </c>
      <c r="K32" s="514"/>
      <c r="L32" s="501" t="s">
        <v>571</v>
      </c>
      <c r="M32" s="501" t="s">
        <v>557</v>
      </c>
      <c r="N32" s="501" t="s">
        <v>559</v>
      </c>
      <c r="O32" s="501" t="s">
        <v>560</v>
      </c>
      <c r="P32" s="501" t="s">
        <v>572</v>
      </c>
      <c r="Q32" s="501" t="s">
        <v>573</v>
      </c>
      <c r="R32" s="501" t="s">
        <v>574</v>
      </c>
      <c r="S32" s="501" t="s">
        <v>575</v>
      </c>
      <c r="T32" s="501" t="s">
        <v>576</v>
      </c>
      <c r="U32" s="501" t="s">
        <v>561</v>
      </c>
      <c r="V32" s="501" t="s">
        <v>577</v>
      </c>
      <c r="W32" s="548" t="s">
        <v>91</v>
      </c>
    </row>
    <row r="33" spans="1:32" ht="61.5" customHeight="1" x14ac:dyDescent="0.3">
      <c r="B33" s="544"/>
      <c r="C33" s="513"/>
      <c r="D33" s="513"/>
      <c r="E33" s="502"/>
      <c r="F33" s="513"/>
      <c r="G33" s="502"/>
      <c r="H33" s="513"/>
      <c r="I33" s="502"/>
      <c r="J33" s="161" t="s">
        <v>276</v>
      </c>
      <c r="K33" s="161" t="s">
        <v>56</v>
      </c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49"/>
    </row>
    <row r="34" spans="1:32" x14ac:dyDescent="0.3">
      <c r="B34" s="41"/>
      <c r="C34" s="41"/>
      <c r="D34" s="4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</row>
    <row r="35" spans="1:32" x14ac:dyDescent="0.3">
      <c r="B35" s="41"/>
      <c r="C35" s="41"/>
      <c r="D35" s="4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41"/>
      <c r="Q35" s="41"/>
      <c r="R35" s="41"/>
      <c r="S35" s="41"/>
      <c r="T35" s="41"/>
      <c r="U35" s="41"/>
      <c r="V35" s="41"/>
      <c r="W35" s="41"/>
    </row>
    <row r="36" spans="1:32" x14ac:dyDescent="0.3"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</row>
    <row r="37" spans="1:32" x14ac:dyDescent="0.3">
      <c r="B37" s="41"/>
      <c r="C37" s="41"/>
      <c r="D37" s="4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41"/>
      <c r="Q37" s="41"/>
      <c r="R37" s="41"/>
      <c r="S37" s="41"/>
      <c r="T37" s="41"/>
      <c r="U37" s="41"/>
      <c r="V37" s="41"/>
      <c r="W37" s="41"/>
    </row>
    <row r="38" spans="1:32" x14ac:dyDescent="0.3"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</row>
    <row r="39" spans="1:32" x14ac:dyDescent="0.3"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</row>
    <row r="40" spans="1:32" x14ac:dyDescent="0.3"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</row>
    <row r="41" spans="1:32" x14ac:dyDescent="0.3">
      <c r="B41" s="41"/>
      <c r="C41" s="41"/>
      <c r="D41" s="41"/>
      <c r="E41" s="41"/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/>
      <c r="T41" s="41"/>
      <c r="U41" s="41"/>
      <c r="V41" s="41"/>
      <c r="W41" s="41"/>
    </row>
    <row r="42" spans="1:32" x14ac:dyDescent="0.3">
      <c r="B42" s="41"/>
      <c r="C42" s="41"/>
      <c r="D42" s="41"/>
      <c r="E42" s="41"/>
      <c r="F42" s="41"/>
      <c r="G42" s="41"/>
      <c r="H42" s="41"/>
      <c r="I42" s="41"/>
      <c r="J42" s="41"/>
      <c r="K42" s="41"/>
      <c r="L42" s="41"/>
      <c r="M42" s="41"/>
      <c r="N42" s="41"/>
      <c r="O42" s="41"/>
      <c r="P42" s="41"/>
      <c r="Q42" s="41"/>
      <c r="R42" s="41"/>
      <c r="S42" s="41"/>
      <c r="T42" s="41"/>
      <c r="U42" s="41"/>
      <c r="V42" s="41"/>
      <c r="W42" s="41"/>
    </row>
    <row r="43" spans="1:32" x14ac:dyDescent="0.3">
      <c r="B43" s="41"/>
      <c r="C43" s="41"/>
      <c r="D43" s="4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41"/>
      <c r="S43" s="41"/>
      <c r="T43" s="41"/>
      <c r="U43" s="41"/>
      <c r="V43" s="41"/>
      <c r="W43" s="41"/>
    </row>
    <row r="44" spans="1:32" ht="15" thickBot="1" x14ac:dyDescent="0.35"/>
    <row r="45" spans="1:32" ht="15" thickBot="1" x14ac:dyDescent="0.35">
      <c r="A45" s="159" t="s">
        <v>578</v>
      </c>
    </row>
    <row r="46" spans="1:32" ht="15" x14ac:dyDescent="0.3">
      <c r="B46" s="510" t="s">
        <v>25</v>
      </c>
      <c r="C46" s="512" t="s">
        <v>58</v>
      </c>
      <c r="D46" s="512" t="s">
        <v>231</v>
      </c>
      <c r="E46" s="501" t="s">
        <v>554</v>
      </c>
      <c r="F46" s="512" t="s">
        <v>61</v>
      </c>
      <c r="G46" s="501" t="s">
        <v>466</v>
      </c>
      <c r="H46" s="512" t="s">
        <v>62</v>
      </c>
      <c r="I46" s="501" t="s">
        <v>486</v>
      </c>
      <c r="J46" s="501" t="s">
        <v>237</v>
      </c>
      <c r="K46" s="501"/>
      <c r="L46" s="501" t="s">
        <v>579</v>
      </c>
      <c r="M46" s="501" t="s">
        <v>580</v>
      </c>
      <c r="N46" s="517" t="s">
        <v>581</v>
      </c>
      <c r="O46" s="517" t="s">
        <v>582</v>
      </c>
      <c r="P46" s="501" t="s">
        <v>583</v>
      </c>
      <c r="Q46" s="501" t="s">
        <v>584</v>
      </c>
      <c r="R46" s="501" t="s">
        <v>559</v>
      </c>
      <c r="S46" s="501" t="s">
        <v>560</v>
      </c>
      <c r="T46" s="519" t="s">
        <v>585</v>
      </c>
      <c r="U46" s="519"/>
      <c r="V46" s="519"/>
      <c r="W46" s="519"/>
      <c r="X46" s="519"/>
      <c r="Y46" s="519"/>
      <c r="Z46" s="519"/>
      <c r="AA46" s="519"/>
      <c r="AB46" s="520" t="s">
        <v>586</v>
      </c>
      <c r="AC46" s="520" t="s">
        <v>587</v>
      </c>
      <c r="AD46" s="501" t="s">
        <v>566</v>
      </c>
      <c r="AE46" s="501" t="s">
        <v>577</v>
      </c>
      <c r="AF46" s="515" t="s">
        <v>91</v>
      </c>
    </row>
    <row r="47" spans="1:32" ht="83.25" customHeight="1" x14ac:dyDescent="0.3">
      <c r="B47" s="511"/>
      <c r="C47" s="513"/>
      <c r="D47" s="513"/>
      <c r="E47" s="502"/>
      <c r="F47" s="513"/>
      <c r="G47" s="502"/>
      <c r="H47" s="513"/>
      <c r="I47" s="502"/>
      <c r="J47" s="162" t="s">
        <v>276</v>
      </c>
      <c r="K47" s="161" t="s">
        <v>56</v>
      </c>
      <c r="L47" s="502"/>
      <c r="M47" s="502"/>
      <c r="N47" s="518"/>
      <c r="O47" s="518"/>
      <c r="P47" s="502"/>
      <c r="Q47" s="502"/>
      <c r="R47" s="502"/>
      <c r="S47" s="502"/>
      <c r="T47" s="161" t="s">
        <v>588</v>
      </c>
      <c r="U47" s="163" t="s">
        <v>589</v>
      </c>
      <c r="V47" s="163" t="s">
        <v>590</v>
      </c>
      <c r="W47" s="163" t="s">
        <v>591</v>
      </c>
      <c r="X47" s="163" t="s">
        <v>592</v>
      </c>
      <c r="Y47" s="163" t="s">
        <v>593</v>
      </c>
      <c r="Z47" s="163" t="s">
        <v>594</v>
      </c>
      <c r="AA47" s="163" t="s">
        <v>595</v>
      </c>
      <c r="AB47" s="521"/>
      <c r="AC47" s="521"/>
      <c r="AD47" s="502"/>
      <c r="AE47" s="502"/>
      <c r="AF47" s="516"/>
    </row>
    <row r="48" spans="1:32" x14ac:dyDescent="0.3"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1"/>
      <c r="AC48" s="41"/>
      <c r="AD48" s="41"/>
      <c r="AE48" s="41"/>
      <c r="AF48" s="41"/>
    </row>
    <row r="49" spans="1:34" x14ac:dyDescent="0.3">
      <c r="B49" s="41"/>
      <c r="C49" s="41"/>
      <c r="D49" s="4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41"/>
      <c r="S49" s="41"/>
      <c r="T49" s="41"/>
      <c r="U49" s="41"/>
      <c r="V49" s="41"/>
      <c r="W49" s="41"/>
      <c r="X49" s="41"/>
      <c r="Y49" s="41"/>
      <c r="Z49" s="41"/>
      <c r="AA49" s="41"/>
      <c r="AB49" s="41"/>
      <c r="AC49" s="41"/>
      <c r="AD49" s="41"/>
      <c r="AE49" s="41"/>
      <c r="AF49" s="41"/>
    </row>
    <row r="50" spans="1:34" x14ac:dyDescent="0.3">
      <c r="B50" s="41"/>
      <c r="C50" s="41"/>
      <c r="D50" s="4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41"/>
      <c r="S50" s="41"/>
      <c r="T50" s="41"/>
      <c r="U50" s="41"/>
      <c r="V50" s="41"/>
      <c r="W50" s="41"/>
      <c r="X50" s="41"/>
      <c r="Y50" s="41"/>
      <c r="Z50" s="41"/>
      <c r="AA50" s="41"/>
      <c r="AB50" s="41"/>
      <c r="AC50" s="41"/>
      <c r="AD50" s="41"/>
      <c r="AE50" s="41"/>
      <c r="AF50" s="41"/>
    </row>
    <row r="51" spans="1:34" x14ac:dyDescent="0.3">
      <c r="B51" s="41"/>
      <c r="C51" s="41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/>
      <c r="AB51" s="41"/>
      <c r="AC51" s="41"/>
      <c r="AD51" s="41"/>
      <c r="AE51" s="41"/>
      <c r="AF51" s="41"/>
    </row>
    <row r="52" spans="1:34" x14ac:dyDescent="0.3">
      <c r="B52" s="41"/>
      <c r="C52" s="41"/>
      <c r="D52" s="4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41"/>
      <c r="S52" s="41"/>
      <c r="T52" s="41"/>
      <c r="U52" s="41"/>
      <c r="V52" s="41"/>
      <c r="W52" s="41"/>
      <c r="X52" s="41"/>
      <c r="Y52" s="41"/>
      <c r="Z52" s="41"/>
      <c r="AA52" s="41"/>
      <c r="AB52" s="41"/>
      <c r="AC52" s="41"/>
      <c r="AD52" s="41"/>
      <c r="AE52" s="41"/>
      <c r="AF52" s="41"/>
    </row>
    <row r="53" spans="1:34" x14ac:dyDescent="0.3">
      <c r="B53" s="41"/>
      <c r="C53" s="41"/>
      <c r="D53" s="41"/>
      <c r="E53" s="41"/>
      <c r="F53" s="41"/>
      <c r="G53" s="41"/>
      <c r="H53" s="41"/>
      <c r="I53" s="41"/>
      <c r="J53" s="41"/>
      <c r="K53" s="41"/>
      <c r="L53" s="41"/>
      <c r="M53" s="41"/>
      <c r="N53" s="41"/>
      <c r="O53" s="41"/>
      <c r="P53" s="41"/>
      <c r="Q53" s="41"/>
      <c r="R53" s="41"/>
      <c r="S53" s="41"/>
      <c r="T53" s="41"/>
      <c r="U53" s="41"/>
      <c r="V53" s="41"/>
      <c r="W53" s="41"/>
      <c r="X53" s="41"/>
      <c r="Y53" s="41"/>
      <c r="Z53" s="41"/>
      <c r="AA53" s="41"/>
      <c r="AB53" s="41"/>
      <c r="AC53" s="41"/>
      <c r="AD53" s="41"/>
      <c r="AE53" s="41"/>
      <c r="AF53" s="41"/>
    </row>
    <row r="54" spans="1:34" x14ac:dyDescent="0.3">
      <c r="B54" s="41"/>
      <c r="C54" s="41"/>
      <c r="D54" s="41"/>
      <c r="E54" s="41"/>
      <c r="F54" s="41"/>
      <c r="G54" s="41"/>
      <c r="H54" s="41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  <c r="AC54" s="41"/>
      <c r="AD54" s="41"/>
      <c r="AE54" s="41"/>
      <c r="AF54" s="41"/>
    </row>
    <row r="55" spans="1:34" x14ac:dyDescent="0.3"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  <c r="M55" s="41"/>
      <c r="N55" s="41"/>
      <c r="O55" s="41"/>
      <c r="P55" s="41"/>
      <c r="Q55" s="41"/>
      <c r="R55" s="41"/>
      <c r="S55" s="41"/>
      <c r="T55" s="41"/>
      <c r="U55" s="41"/>
      <c r="V55" s="41"/>
      <c r="W55" s="41"/>
      <c r="X55" s="41"/>
      <c r="Y55" s="41"/>
      <c r="Z55" s="41"/>
      <c r="AA55" s="41"/>
      <c r="AB55" s="41"/>
      <c r="AC55" s="41"/>
      <c r="AD55" s="41"/>
      <c r="AE55" s="41"/>
      <c r="AF55" s="41"/>
    </row>
    <row r="56" spans="1:34" x14ac:dyDescent="0.3">
      <c r="B56" s="41"/>
      <c r="C56" s="41"/>
      <c r="D56" s="41"/>
      <c r="E56" s="41"/>
      <c r="F56" s="41"/>
      <c r="G56" s="41"/>
      <c r="H56" s="41"/>
      <c r="I56" s="41"/>
      <c r="J56" s="41"/>
      <c r="K56" s="41"/>
      <c r="L56" s="41"/>
      <c r="M56" s="41"/>
      <c r="N56" s="41"/>
      <c r="O56" s="41"/>
      <c r="P56" s="41"/>
      <c r="Q56" s="41"/>
      <c r="R56" s="41"/>
      <c r="S56" s="41"/>
      <c r="T56" s="41"/>
      <c r="U56" s="41"/>
      <c r="V56" s="41"/>
      <c r="W56" s="41"/>
      <c r="X56" s="41"/>
      <c r="Y56" s="41"/>
      <c r="Z56" s="41"/>
      <c r="AA56" s="41"/>
      <c r="AB56" s="41"/>
      <c r="AC56" s="41"/>
      <c r="AD56" s="41"/>
      <c r="AE56" s="41"/>
      <c r="AF56" s="41"/>
    </row>
    <row r="57" spans="1:34" x14ac:dyDescent="0.3">
      <c r="B57" s="41"/>
      <c r="C57" s="41"/>
      <c r="D57" s="41"/>
      <c r="E57" s="41"/>
      <c r="F57" s="41"/>
      <c r="G57" s="41"/>
      <c r="H57" s="41"/>
      <c r="I57" s="41"/>
      <c r="J57" s="41"/>
      <c r="K57" s="41"/>
      <c r="L57" s="41"/>
      <c r="M57" s="41"/>
      <c r="N57" s="41"/>
      <c r="O57" s="41"/>
      <c r="P57" s="41"/>
      <c r="Q57" s="41"/>
      <c r="R57" s="41"/>
      <c r="S57" s="41"/>
      <c r="T57" s="41"/>
      <c r="U57" s="41"/>
      <c r="V57" s="41"/>
      <c r="W57" s="41"/>
      <c r="X57" s="41"/>
      <c r="Y57" s="41"/>
      <c r="Z57" s="41"/>
      <c r="AA57" s="41"/>
      <c r="AB57" s="41"/>
      <c r="AC57" s="41"/>
      <c r="AD57" s="41"/>
      <c r="AE57" s="41"/>
      <c r="AF57" s="41"/>
    </row>
    <row r="58" spans="1:34" ht="15" thickBot="1" x14ac:dyDescent="0.35"/>
    <row r="59" spans="1:34" ht="15" thickBot="1" x14ac:dyDescent="0.35">
      <c r="A59" s="159" t="s">
        <v>596</v>
      </c>
    </row>
    <row r="60" spans="1:34" ht="15" thickBot="1" x14ac:dyDescent="0.35">
      <c r="B60" s="536" t="s">
        <v>25</v>
      </c>
      <c r="C60" s="164"/>
      <c r="D60" s="538" t="s">
        <v>58</v>
      </c>
      <c r="E60" s="538" t="s">
        <v>231</v>
      </c>
      <c r="F60" s="540" t="s">
        <v>60</v>
      </c>
      <c r="G60" s="538" t="s">
        <v>61</v>
      </c>
      <c r="H60" s="540" t="s">
        <v>466</v>
      </c>
      <c r="I60" s="526" t="s">
        <v>235</v>
      </c>
      <c r="J60" s="528" t="s">
        <v>486</v>
      </c>
      <c r="K60" s="530" t="s">
        <v>64</v>
      </c>
      <c r="L60" s="531"/>
      <c r="M60" s="532" t="s">
        <v>597</v>
      </c>
      <c r="N60" s="534" t="s">
        <v>598</v>
      </c>
      <c r="O60" s="522" t="s">
        <v>599</v>
      </c>
      <c r="P60" s="522" t="s">
        <v>600</v>
      </c>
      <c r="Q60" s="524" t="s">
        <v>601</v>
      </c>
      <c r="R60" s="524" t="s">
        <v>602</v>
      </c>
      <c r="S60" s="501" t="s">
        <v>603</v>
      </c>
      <c r="T60" s="524" t="s">
        <v>600</v>
      </c>
      <c r="U60" s="524" t="s">
        <v>604</v>
      </c>
      <c r="V60" s="524" t="s">
        <v>605</v>
      </c>
      <c r="W60" s="522" t="s">
        <v>606</v>
      </c>
      <c r="X60" s="524" t="s">
        <v>607</v>
      </c>
      <c r="Y60" s="524" t="s">
        <v>608</v>
      </c>
      <c r="Z60" s="522" t="s">
        <v>609</v>
      </c>
      <c r="AA60" s="522" t="s">
        <v>610</v>
      </c>
      <c r="AB60" s="545" t="s">
        <v>611</v>
      </c>
      <c r="AC60" s="524" t="s">
        <v>612</v>
      </c>
      <c r="AD60" s="524" t="s">
        <v>613</v>
      </c>
      <c r="AE60" s="524" t="s">
        <v>614</v>
      </c>
      <c r="AF60" s="540" t="s">
        <v>615</v>
      </c>
      <c r="AG60" s="546" t="s">
        <v>616</v>
      </c>
      <c r="AH60" s="524" t="s">
        <v>617</v>
      </c>
    </row>
    <row r="61" spans="1:34" ht="98.25" customHeight="1" x14ac:dyDescent="0.3">
      <c r="B61" s="537"/>
      <c r="C61" s="165" t="s">
        <v>618</v>
      </c>
      <c r="D61" s="539"/>
      <c r="E61" s="539"/>
      <c r="F61" s="541"/>
      <c r="G61" s="539"/>
      <c r="H61" s="541"/>
      <c r="I61" s="527"/>
      <c r="J61" s="529"/>
      <c r="K61" s="166" t="s">
        <v>276</v>
      </c>
      <c r="L61" s="167" t="s">
        <v>56</v>
      </c>
      <c r="M61" s="533"/>
      <c r="N61" s="535"/>
      <c r="O61" s="523"/>
      <c r="P61" s="523"/>
      <c r="Q61" s="525"/>
      <c r="R61" s="525"/>
      <c r="S61" s="502"/>
      <c r="T61" s="525"/>
      <c r="U61" s="525"/>
      <c r="V61" s="525"/>
      <c r="W61" s="523"/>
      <c r="X61" s="525"/>
      <c r="Y61" s="525"/>
      <c r="Z61" s="523"/>
      <c r="AA61" s="523"/>
      <c r="AB61" s="523"/>
      <c r="AC61" s="525"/>
      <c r="AD61" s="525"/>
      <c r="AE61" s="525"/>
      <c r="AF61" s="541"/>
      <c r="AG61" s="547"/>
      <c r="AH61" s="525"/>
    </row>
    <row r="62" spans="1:34" x14ac:dyDescent="0.3">
      <c r="B62" s="41"/>
      <c r="C62" s="41"/>
      <c r="D62" s="41"/>
      <c r="E62" s="41"/>
      <c r="F62" s="41"/>
      <c r="G62" s="41"/>
      <c r="H62" s="41"/>
      <c r="I62" s="41"/>
      <c r="J62" s="41"/>
      <c r="K62" s="41"/>
      <c r="L62" s="41"/>
      <c r="M62" s="41"/>
      <c r="N62" s="41"/>
      <c r="O62" s="41"/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  <c r="AA62" s="41"/>
      <c r="AB62" s="41"/>
      <c r="AC62" s="41"/>
      <c r="AD62" s="41"/>
      <c r="AE62" s="41"/>
      <c r="AF62" s="41"/>
      <c r="AG62" s="41"/>
      <c r="AH62" s="41"/>
    </row>
    <row r="63" spans="1:34" x14ac:dyDescent="0.3">
      <c r="B63" s="41"/>
      <c r="C63" s="41"/>
      <c r="D63" s="41"/>
      <c r="E63" s="41"/>
      <c r="F63" s="41"/>
      <c r="G63" s="41"/>
      <c r="H63" s="41"/>
      <c r="I63" s="41"/>
      <c r="J63" s="41"/>
      <c r="K63" s="41"/>
      <c r="L63" s="41"/>
      <c r="M63" s="41"/>
      <c r="N63" s="41"/>
      <c r="O63" s="41"/>
      <c r="P63" s="41"/>
      <c r="Q63" s="41"/>
      <c r="R63" s="41"/>
      <c r="S63" s="41"/>
      <c r="T63" s="41"/>
      <c r="U63" s="41"/>
      <c r="V63" s="41"/>
      <c r="W63" s="41"/>
      <c r="X63" s="41"/>
      <c r="Y63" s="41"/>
      <c r="Z63" s="41"/>
      <c r="AA63" s="41"/>
      <c r="AB63" s="41"/>
      <c r="AC63" s="41"/>
      <c r="AD63" s="41"/>
      <c r="AE63" s="41"/>
      <c r="AF63" s="41"/>
      <c r="AG63" s="41"/>
      <c r="AH63" s="41"/>
    </row>
    <row r="64" spans="1:34" x14ac:dyDescent="0.3">
      <c r="B64" s="41"/>
      <c r="C64" s="41"/>
      <c r="D64" s="41"/>
      <c r="E64" s="41"/>
      <c r="F64" s="41"/>
      <c r="G64" s="41"/>
      <c r="H64" s="41"/>
      <c r="I64" s="41"/>
      <c r="J64" s="41"/>
      <c r="K64" s="41"/>
      <c r="L64" s="41"/>
      <c r="M64" s="41"/>
      <c r="N64" s="41"/>
      <c r="O64" s="41"/>
      <c r="P64" s="41"/>
      <c r="Q64" s="41"/>
      <c r="R64" s="41"/>
      <c r="S64" s="41"/>
      <c r="T64" s="41"/>
      <c r="U64" s="41"/>
      <c r="V64" s="41"/>
      <c r="W64" s="41"/>
      <c r="X64" s="41"/>
      <c r="Y64" s="41"/>
      <c r="Z64" s="41"/>
      <c r="AA64" s="41"/>
      <c r="AB64" s="41"/>
      <c r="AC64" s="41"/>
      <c r="AD64" s="41"/>
      <c r="AE64" s="41"/>
      <c r="AF64" s="41"/>
      <c r="AG64" s="41"/>
      <c r="AH64" s="41"/>
    </row>
    <row r="65" spans="1:34" x14ac:dyDescent="0.3"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  <c r="M65" s="41"/>
      <c r="N65" s="41"/>
      <c r="O65" s="41"/>
      <c r="P65" s="41"/>
      <c r="Q65" s="41"/>
      <c r="R65" s="41"/>
      <c r="S65" s="41"/>
      <c r="T65" s="41"/>
      <c r="U65" s="41"/>
      <c r="V65" s="41"/>
      <c r="W65" s="41"/>
      <c r="X65" s="41"/>
      <c r="Y65" s="41"/>
      <c r="Z65" s="41"/>
      <c r="AA65" s="41"/>
      <c r="AB65" s="41"/>
      <c r="AC65" s="41"/>
      <c r="AD65" s="41"/>
      <c r="AE65" s="41"/>
      <c r="AF65" s="41"/>
      <c r="AG65" s="41"/>
      <c r="AH65" s="41"/>
    </row>
    <row r="66" spans="1:34" x14ac:dyDescent="0.3">
      <c r="B66" s="41"/>
      <c r="C66" s="41"/>
      <c r="D66" s="41"/>
      <c r="E66" s="41"/>
      <c r="F66" s="41"/>
      <c r="G66" s="41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  <c r="Z66" s="41"/>
      <c r="AA66" s="41"/>
      <c r="AB66" s="41"/>
      <c r="AC66" s="41"/>
      <c r="AD66" s="41"/>
      <c r="AE66" s="41"/>
      <c r="AF66" s="41"/>
      <c r="AG66" s="41"/>
      <c r="AH66" s="41"/>
    </row>
    <row r="67" spans="1:34" x14ac:dyDescent="0.3">
      <c r="B67" s="41"/>
      <c r="C67" s="41"/>
      <c r="D67" s="41"/>
      <c r="E67" s="41"/>
      <c r="F67" s="41"/>
      <c r="G67" s="41"/>
      <c r="H67" s="41"/>
      <c r="I67" s="41"/>
      <c r="J67" s="41"/>
      <c r="K67" s="41"/>
      <c r="L67" s="41"/>
      <c r="M67" s="41"/>
      <c r="N67" s="41"/>
      <c r="O67" s="41"/>
      <c r="P67" s="41"/>
      <c r="Q67" s="41"/>
      <c r="R67" s="41"/>
      <c r="S67" s="41"/>
      <c r="T67" s="41"/>
      <c r="U67" s="41"/>
      <c r="V67" s="41"/>
      <c r="W67" s="41"/>
      <c r="X67" s="41"/>
      <c r="Y67" s="41"/>
      <c r="Z67" s="41"/>
      <c r="AA67" s="41"/>
      <c r="AB67" s="41"/>
      <c r="AC67" s="41"/>
      <c r="AD67" s="41"/>
      <c r="AE67" s="41"/>
      <c r="AF67" s="41"/>
      <c r="AG67" s="41"/>
      <c r="AH67" s="41"/>
    </row>
    <row r="68" spans="1:34" x14ac:dyDescent="0.3">
      <c r="B68" s="41"/>
      <c r="C68" s="41"/>
      <c r="D68" s="41"/>
      <c r="E68" s="41"/>
      <c r="F68" s="41"/>
      <c r="G68" s="41"/>
      <c r="H68" s="41"/>
      <c r="I68" s="41"/>
      <c r="J68" s="41"/>
      <c r="K68" s="41"/>
      <c r="L68" s="41"/>
      <c r="M68" s="41"/>
      <c r="N68" s="41"/>
      <c r="O68" s="41"/>
      <c r="P68" s="41"/>
      <c r="Q68" s="41"/>
      <c r="R68" s="41"/>
      <c r="S68" s="41"/>
      <c r="T68" s="41"/>
      <c r="U68" s="41"/>
      <c r="V68" s="41"/>
      <c r="W68" s="41"/>
      <c r="X68" s="41"/>
      <c r="Y68" s="41"/>
      <c r="Z68" s="41"/>
      <c r="AA68" s="41"/>
      <c r="AB68" s="41"/>
      <c r="AC68" s="41"/>
      <c r="AD68" s="41"/>
      <c r="AE68" s="41"/>
      <c r="AF68" s="41"/>
      <c r="AG68" s="41"/>
      <c r="AH68" s="41"/>
    </row>
    <row r="69" spans="1:34" x14ac:dyDescent="0.3">
      <c r="B69" s="41"/>
      <c r="C69" s="41"/>
      <c r="D69" s="41"/>
      <c r="E69" s="41"/>
      <c r="F69" s="41"/>
      <c r="G69" s="41"/>
      <c r="H69" s="41"/>
      <c r="I69" s="41"/>
      <c r="J69" s="41"/>
      <c r="K69" s="41"/>
      <c r="L69" s="41"/>
      <c r="M69" s="41"/>
      <c r="N69" s="41"/>
      <c r="O69" s="41"/>
      <c r="P69" s="41"/>
      <c r="Q69" s="41"/>
      <c r="R69" s="41"/>
      <c r="S69" s="41"/>
      <c r="T69" s="41"/>
      <c r="U69" s="41"/>
      <c r="V69" s="41"/>
      <c r="W69" s="41"/>
      <c r="X69" s="41"/>
      <c r="Y69" s="41"/>
      <c r="Z69" s="41"/>
      <c r="AA69" s="41"/>
      <c r="AB69" s="41"/>
      <c r="AC69" s="41"/>
      <c r="AD69" s="41"/>
      <c r="AE69" s="41"/>
      <c r="AF69" s="41"/>
      <c r="AG69" s="41"/>
      <c r="AH69" s="41"/>
    </row>
    <row r="70" spans="1:34" x14ac:dyDescent="0.3"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  <c r="M70" s="41"/>
      <c r="N70" s="41"/>
      <c r="O70" s="41"/>
      <c r="P70" s="41"/>
      <c r="Q70" s="41"/>
      <c r="R70" s="41"/>
      <c r="S70" s="41"/>
      <c r="T70" s="41"/>
      <c r="U70" s="41"/>
      <c r="V70" s="41"/>
      <c r="W70" s="41"/>
      <c r="X70" s="41"/>
      <c r="Y70" s="41"/>
      <c r="Z70" s="41"/>
      <c r="AA70" s="41"/>
      <c r="AB70" s="41"/>
      <c r="AC70" s="41"/>
      <c r="AD70" s="41"/>
      <c r="AE70" s="41"/>
      <c r="AF70" s="41"/>
      <c r="AG70" s="41"/>
      <c r="AH70" s="41"/>
    </row>
    <row r="71" spans="1:34" x14ac:dyDescent="0.3">
      <c r="B71" s="41"/>
      <c r="C71" s="41"/>
      <c r="D71" s="41"/>
      <c r="E71" s="41"/>
      <c r="F71" s="41"/>
      <c r="G71" s="41"/>
      <c r="H71" s="41"/>
      <c r="I71" s="41"/>
      <c r="J71" s="41"/>
      <c r="K71" s="41"/>
      <c r="L71" s="41"/>
      <c r="M71" s="41"/>
      <c r="N71" s="41"/>
      <c r="O71" s="41"/>
      <c r="P71" s="41"/>
      <c r="Q71" s="41"/>
      <c r="R71" s="41"/>
      <c r="S71" s="41"/>
      <c r="T71" s="41"/>
      <c r="U71" s="41"/>
      <c r="V71" s="41"/>
      <c r="W71" s="41"/>
      <c r="X71" s="41"/>
      <c r="Y71" s="41"/>
      <c r="Z71" s="41"/>
      <c r="AA71" s="41"/>
      <c r="AB71" s="41"/>
      <c r="AC71" s="41"/>
      <c r="AD71" s="41"/>
      <c r="AE71" s="41"/>
      <c r="AF71" s="41"/>
      <c r="AG71" s="41"/>
      <c r="AH71" s="41"/>
    </row>
    <row r="72" spans="1:34" ht="15" thickBot="1" x14ac:dyDescent="0.35"/>
    <row r="73" spans="1:34" ht="15" thickBot="1" x14ac:dyDescent="0.35">
      <c r="A73" s="159" t="s">
        <v>619</v>
      </c>
      <c r="B73" s="99"/>
      <c r="C73" s="99"/>
      <c r="D73" s="99"/>
      <c r="E73" s="157"/>
      <c r="F73" s="99"/>
      <c r="G73" s="157"/>
      <c r="H73" s="99"/>
      <c r="I73" s="157"/>
      <c r="J73" s="530" t="s">
        <v>64</v>
      </c>
      <c r="K73" s="542"/>
    </row>
    <row r="74" spans="1:34" ht="39.6" x14ac:dyDescent="0.3">
      <c r="B74" s="168" t="s">
        <v>25</v>
      </c>
      <c r="C74" s="169" t="s">
        <v>58</v>
      </c>
      <c r="D74" s="169" t="s">
        <v>231</v>
      </c>
      <c r="E74" s="170" t="s">
        <v>60</v>
      </c>
      <c r="F74" s="169" t="s">
        <v>61</v>
      </c>
      <c r="G74" s="170" t="s">
        <v>466</v>
      </c>
      <c r="H74" s="171" t="s">
        <v>235</v>
      </c>
      <c r="I74" s="172" t="s">
        <v>486</v>
      </c>
      <c r="J74" s="170" t="s">
        <v>276</v>
      </c>
      <c r="K74" s="173" t="s">
        <v>56</v>
      </c>
      <c r="L74" s="174" t="s">
        <v>620</v>
      </c>
      <c r="M74" s="175" t="s">
        <v>621</v>
      </c>
      <c r="N74" s="176" t="s">
        <v>622</v>
      </c>
      <c r="O74" s="177" t="s">
        <v>91</v>
      </c>
    </row>
    <row r="75" spans="1:34" x14ac:dyDescent="0.3"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  <c r="M75" s="41"/>
      <c r="N75" s="41"/>
      <c r="O75" s="41"/>
    </row>
    <row r="76" spans="1:34" x14ac:dyDescent="0.3">
      <c r="B76" s="41"/>
      <c r="C76" s="41"/>
      <c r="D76" s="41"/>
      <c r="E76" s="41"/>
      <c r="F76" s="41"/>
      <c r="G76" s="41"/>
      <c r="H76" s="41"/>
      <c r="I76" s="41"/>
      <c r="J76" s="41"/>
      <c r="K76" s="41"/>
      <c r="L76" s="41"/>
      <c r="M76" s="41"/>
      <c r="N76" s="41"/>
      <c r="O76" s="41"/>
    </row>
    <row r="77" spans="1:34" x14ac:dyDescent="0.3">
      <c r="B77" s="41"/>
      <c r="C77" s="41"/>
      <c r="D77" s="41"/>
      <c r="E77" s="41"/>
      <c r="F77" s="41"/>
      <c r="G77" s="41"/>
      <c r="H77" s="41"/>
      <c r="I77" s="41"/>
      <c r="J77" s="41"/>
      <c r="K77" s="41"/>
      <c r="L77" s="41"/>
      <c r="M77" s="41"/>
      <c r="N77" s="41"/>
      <c r="O77" s="41"/>
    </row>
    <row r="78" spans="1:34" x14ac:dyDescent="0.3">
      <c r="B78" s="41"/>
      <c r="C78" s="41"/>
      <c r="D78" s="41"/>
      <c r="E78" s="41"/>
      <c r="F78" s="41"/>
      <c r="G78" s="41"/>
      <c r="H78" s="41"/>
      <c r="I78" s="41"/>
      <c r="J78" s="41"/>
      <c r="K78" s="41"/>
      <c r="L78" s="41"/>
      <c r="M78" s="41"/>
      <c r="N78" s="41"/>
      <c r="O78" s="41"/>
    </row>
    <row r="79" spans="1:34" x14ac:dyDescent="0.3">
      <c r="B79" s="41"/>
      <c r="C79" s="41"/>
      <c r="D79" s="41"/>
      <c r="E79" s="41"/>
      <c r="F79" s="41"/>
      <c r="G79" s="41"/>
      <c r="H79" s="41"/>
      <c r="I79" s="41"/>
      <c r="J79" s="41"/>
      <c r="K79" s="41"/>
      <c r="L79" s="41"/>
      <c r="M79" s="41"/>
      <c r="N79" s="41"/>
      <c r="O79" s="41"/>
    </row>
    <row r="80" spans="1:34" x14ac:dyDescent="0.3"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  <c r="M80" s="41"/>
      <c r="N80" s="41"/>
      <c r="O80" s="41"/>
    </row>
    <row r="81" spans="1:17" x14ac:dyDescent="0.3">
      <c r="B81" s="41"/>
      <c r="C81" s="41"/>
      <c r="D81" s="41"/>
      <c r="E81" s="41"/>
      <c r="F81" s="41"/>
      <c r="G81" s="41"/>
      <c r="H81" s="41"/>
      <c r="I81" s="41"/>
      <c r="J81" s="41"/>
      <c r="K81" s="41"/>
      <c r="L81" s="41"/>
      <c r="M81" s="41"/>
      <c r="N81" s="41"/>
      <c r="O81" s="41"/>
    </row>
    <row r="82" spans="1:17" x14ac:dyDescent="0.3">
      <c r="B82" s="41"/>
      <c r="C82" s="41"/>
      <c r="D82" s="41"/>
      <c r="E82" s="41"/>
      <c r="F82" s="41"/>
      <c r="G82" s="41"/>
      <c r="H82" s="41"/>
      <c r="I82" s="41"/>
      <c r="J82" s="41"/>
      <c r="K82" s="41"/>
      <c r="L82" s="41"/>
      <c r="M82" s="41"/>
      <c r="N82" s="41"/>
      <c r="O82" s="41"/>
    </row>
    <row r="83" spans="1:17" x14ac:dyDescent="0.3">
      <c r="B83" s="41"/>
      <c r="C83" s="41"/>
      <c r="D83" s="41"/>
      <c r="E83" s="41"/>
      <c r="F83" s="41"/>
      <c r="G83" s="41"/>
      <c r="H83" s="41"/>
      <c r="I83" s="41"/>
      <c r="J83" s="41"/>
      <c r="K83" s="41"/>
      <c r="L83" s="41"/>
      <c r="M83" s="41"/>
      <c r="N83" s="41"/>
      <c r="O83" s="41"/>
    </row>
    <row r="84" spans="1:17" x14ac:dyDescent="0.3">
      <c r="B84" s="41"/>
      <c r="C84" s="41"/>
      <c r="D84" s="41"/>
      <c r="E84" s="41"/>
      <c r="F84" s="41"/>
      <c r="G84" s="41"/>
      <c r="H84" s="41"/>
      <c r="I84" s="41"/>
      <c r="J84" s="41"/>
      <c r="K84" s="41"/>
      <c r="L84" s="41"/>
      <c r="M84" s="41"/>
      <c r="N84" s="41"/>
      <c r="O84" s="41"/>
    </row>
    <row r="85" spans="1:17" ht="15" thickBot="1" x14ac:dyDescent="0.35"/>
    <row r="86" spans="1:17" ht="15" thickBot="1" x14ac:dyDescent="0.35">
      <c r="A86" s="159" t="s">
        <v>623</v>
      </c>
    </row>
    <row r="87" spans="1:17" x14ac:dyDescent="0.3">
      <c r="B87" s="497" t="s">
        <v>25</v>
      </c>
      <c r="C87" s="499" t="s">
        <v>58</v>
      </c>
      <c r="D87" s="499" t="s">
        <v>231</v>
      </c>
      <c r="E87" s="501" t="s">
        <v>60</v>
      </c>
      <c r="F87" s="499" t="s">
        <v>61</v>
      </c>
      <c r="G87" s="503" t="s">
        <v>466</v>
      </c>
      <c r="H87" s="499" t="s">
        <v>235</v>
      </c>
      <c r="I87" s="503" t="s">
        <v>486</v>
      </c>
      <c r="J87" s="514" t="s">
        <v>64</v>
      </c>
      <c r="K87" s="514"/>
      <c r="L87" s="503" t="s">
        <v>555</v>
      </c>
      <c r="M87" s="503" t="s">
        <v>624</v>
      </c>
      <c r="N87" s="503" t="s">
        <v>625</v>
      </c>
      <c r="O87" s="503" t="s">
        <v>626</v>
      </c>
      <c r="P87" s="503" t="s">
        <v>627</v>
      </c>
      <c r="Q87" s="508" t="s">
        <v>567</v>
      </c>
    </row>
    <row r="88" spans="1:17" ht="52.5" customHeight="1" x14ac:dyDescent="0.3">
      <c r="B88" s="498"/>
      <c r="C88" s="500"/>
      <c r="D88" s="500"/>
      <c r="E88" s="502"/>
      <c r="F88" s="500"/>
      <c r="G88" s="504"/>
      <c r="H88" s="500"/>
      <c r="I88" s="504"/>
      <c r="J88" s="160" t="s">
        <v>276</v>
      </c>
      <c r="K88" s="160" t="s">
        <v>56</v>
      </c>
      <c r="L88" s="504"/>
      <c r="M88" s="504"/>
      <c r="N88" s="504"/>
      <c r="O88" s="504"/>
      <c r="P88" s="504"/>
      <c r="Q88" s="509"/>
    </row>
    <row r="89" spans="1:17" x14ac:dyDescent="0.3">
      <c r="B89" s="266">
        <v>700107442694520</v>
      </c>
      <c r="C89" s="267">
        <v>16246</v>
      </c>
      <c r="D89" s="267" t="s">
        <v>92</v>
      </c>
      <c r="E89" s="267" t="s">
        <v>136</v>
      </c>
      <c r="F89" s="267" t="s">
        <v>628</v>
      </c>
      <c r="G89" s="267" t="s">
        <v>254</v>
      </c>
      <c r="H89" s="267" t="s">
        <v>136</v>
      </c>
      <c r="I89" s="268">
        <v>44417</v>
      </c>
      <c r="J89" s="267">
        <v>1</v>
      </c>
      <c r="K89" s="267">
        <v>3</v>
      </c>
      <c r="L89" s="268">
        <v>44919</v>
      </c>
      <c r="M89" s="268">
        <v>44916</v>
      </c>
      <c r="N89" s="267" t="s">
        <v>629</v>
      </c>
      <c r="O89" s="267"/>
      <c r="P89" s="267">
        <v>1</v>
      </c>
      <c r="Q89" s="268">
        <v>44931</v>
      </c>
    </row>
    <row r="90" spans="1:17" x14ac:dyDescent="0.3">
      <c r="B90" s="41"/>
      <c r="C90" s="41"/>
      <c r="D90" s="41"/>
      <c r="E90" s="41"/>
      <c r="F90" s="41"/>
      <c r="G90" s="41"/>
      <c r="H90" s="41"/>
      <c r="I90" s="41"/>
      <c r="J90" s="41"/>
      <c r="K90" s="41"/>
      <c r="L90" s="41"/>
      <c r="M90" s="41"/>
      <c r="N90" s="41"/>
      <c r="O90" s="41"/>
      <c r="P90" s="41"/>
      <c r="Q90" s="41"/>
    </row>
    <row r="91" spans="1:17" x14ac:dyDescent="0.3">
      <c r="B91" s="41"/>
      <c r="C91" s="41"/>
      <c r="D91" s="41"/>
      <c r="E91" s="41"/>
      <c r="F91" s="41"/>
      <c r="G91" s="41"/>
      <c r="H91" s="41"/>
      <c r="I91" s="41"/>
      <c r="J91" s="41"/>
      <c r="K91" s="41"/>
      <c r="L91" s="41"/>
      <c r="M91" s="41"/>
      <c r="N91" s="41"/>
      <c r="O91" s="41"/>
      <c r="P91" s="41"/>
      <c r="Q91" s="41"/>
    </row>
    <row r="92" spans="1:17" x14ac:dyDescent="0.3">
      <c r="B92" s="41"/>
      <c r="C92" s="41"/>
      <c r="D92" s="41"/>
      <c r="E92" s="41"/>
      <c r="F92" s="41"/>
      <c r="G92" s="41"/>
      <c r="H92" s="41"/>
      <c r="I92" s="41"/>
      <c r="J92" s="41"/>
      <c r="K92" s="41"/>
      <c r="L92" s="41"/>
      <c r="M92" s="41"/>
      <c r="N92" s="41"/>
      <c r="O92" s="41"/>
      <c r="P92" s="41"/>
      <c r="Q92" s="41"/>
    </row>
    <row r="93" spans="1:17" x14ac:dyDescent="0.3">
      <c r="B93" s="41"/>
      <c r="C93" s="41"/>
      <c r="D93" s="41"/>
      <c r="E93" s="41"/>
      <c r="F93" s="41"/>
      <c r="G93" s="41"/>
      <c r="H93" s="41"/>
      <c r="I93" s="41"/>
      <c r="J93" s="41"/>
      <c r="K93" s="41"/>
      <c r="L93" s="41"/>
      <c r="M93" s="41"/>
      <c r="N93" s="41"/>
      <c r="O93" s="41"/>
      <c r="P93" s="41"/>
      <c r="Q93" s="41"/>
    </row>
    <row r="94" spans="1:17" x14ac:dyDescent="0.3">
      <c r="B94" s="41"/>
      <c r="C94" s="41"/>
      <c r="D94" s="41"/>
      <c r="E94" s="41"/>
      <c r="F94" s="41"/>
      <c r="G94" s="41"/>
      <c r="H94" s="41"/>
      <c r="I94" s="41"/>
      <c r="J94" s="41"/>
      <c r="K94" s="41"/>
      <c r="L94" s="41"/>
      <c r="M94" s="41"/>
      <c r="N94" s="41"/>
      <c r="O94" s="41"/>
      <c r="P94" s="41"/>
      <c r="Q94" s="41"/>
    </row>
    <row r="95" spans="1:17" x14ac:dyDescent="0.3">
      <c r="B95" s="41"/>
      <c r="C95" s="41"/>
      <c r="D95" s="41"/>
      <c r="E95" s="41"/>
      <c r="F95" s="41"/>
      <c r="G95" s="41"/>
      <c r="H95" s="41"/>
      <c r="I95" s="41"/>
      <c r="J95" s="41"/>
      <c r="K95" s="41"/>
      <c r="L95" s="41"/>
      <c r="M95" s="41"/>
      <c r="N95" s="41"/>
      <c r="O95" s="41"/>
      <c r="P95" s="41"/>
      <c r="Q95" s="41"/>
    </row>
    <row r="96" spans="1:17" x14ac:dyDescent="0.3">
      <c r="B96" s="41"/>
      <c r="C96" s="41"/>
      <c r="D96" s="41"/>
      <c r="E96" s="41"/>
      <c r="F96" s="41"/>
      <c r="G96" s="41"/>
      <c r="H96" s="41"/>
      <c r="I96" s="41"/>
      <c r="J96" s="41"/>
      <c r="K96" s="41"/>
      <c r="L96" s="41"/>
      <c r="M96" s="41"/>
      <c r="N96" s="41"/>
      <c r="O96" s="41"/>
      <c r="P96" s="41"/>
      <c r="Q96" s="41"/>
    </row>
    <row r="97" spans="1:17" x14ac:dyDescent="0.3">
      <c r="B97" s="41"/>
      <c r="C97" s="41"/>
      <c r="D97" s="41"/>
      <c r="E97" s="41"/>
      <c r="F97" s="41"/>
      <c r="G97" s="41"/>
      <c r="H97" s="41"/>
      <c r="I97" s="41"/>
      <c r="J97" s="41"/>
      <c r="K97" s="41"/>
      <c r="L97" s="41"/>
      <c r="M97" s="41"/>
      <c r="N97" s="41"/>
      <c r="O97" s="41"/>
      <c r="P97" s="41"/>
      <c r="Q97" s="41"/>
    </row>
    <row r="98" spans="1:17" x14ac:dyDescent="0.3">
      <c r="B98" s="41"/>
      <c r="C98" s="41"/>
      <c r="D98" s="41"/>
      <c r="E98" s="41"/>
      <c r="F98" s="41"/>
      <c r="G98" s="41"/>
      <c r="H98" s="41"/>
      <c r="I98" s="41"/>
      <c r="J98" s="41"/>
      <c r="K98" s="41"/>
      <c r="L98" s="41"/>
      <c r="M98" s="41"/>
      <c r="N98" s="41"/>
      <c r="O98" s="41"/>
      <c r="P98" s="41"/>
      <c r="Q98" s="41"/>
    </row>
    <row r="99" spans="1:17" ht="15" thickBot="1" x14ac:dyDescent="0.35"/>
    <row r="100" spans="1:17" ht="15" thickBot="1" x14ac:dyDescent="0.35">
      <c r="A100" s="159" t="s">
        <v>630</v>
      </c>
    </row>
    <row r="101" spans="1:17" ht="34.5" customHeight="1" x14ac:dyDescent="0.3">
      <c r="B101" s="558" t="s">
        <v>25</v>
      </c>
      <c r="C101" s="554" t="s">
        <v>58</v>
      </c>
      <c r="D101" s="556" t="s">
        <v>231</v>
      </c>
      <c r="E101" s="501" t="s">
        <v>60</v>
      </c>
      <c r="F101" s="556" t="s">
        <v>61</v>
      </c>
      <c r="G101" s="524" t="s">
        <v>466</v>
      </c>
      <c r="H101" s="556" t="s">
        <v>235</v>
      </c>
      <c r="I101" s="524" t="s">
        <v>486</v>
      </c>
      <c r="J101" s="507" t="s">
        <v>64</v>
      </c>
      <c r="K101" s="507"/>
      <c r="L101" s="550" t="s">
        <v>555</v>
      </c>
      <c r="M101" s="550" t="s">
        <v>631</v>
      </c>
      <c r="N101" s="550" t="s">
        <v>632</v>
      </c>
      <c r="O101" s="550" t="s">
        <v>566</v>
      </c>
      <c r="P101" s="550" t="s">
        <v>633</v>
      </c>
      <c r="Q101" s="552" t="s">
        <v>634</v>
      </c>
    </row>
    <row r="102" spans="1:17" ht="34.5" customHeight="1" x14ac:dyDescent="0.3">
      <c r="B102" s="559"/>
      <c r="C102" s="555"/>
      <c r="D102" s="557"/>
      <c r="E102" s="502"/>
      <c r="F102" s="557"/>
      <c r="G102" s="525"/>
      <c r="H102" s="557"/>
      <c r="I102" s="525"/>
      <c r="J102" s="178" t="s">
        <v>276</v>
      </c>
      <c r="K102" s="178" t="s">
        <v>56</v>
      </c>
      <c r="L102" s="551"/>
      <c r="M102" s="551"/>
      <c r="N102" s="551"/>
      <c r="O102" s="551"/>
      <c r="P102" s="551"/>
      <c r="Q102" s="553"/>
    </row>
    <row r="103" spans="1:17" x14ac:dyDescent="0.3">
      <c r="B103" s="41"/>
      <c r="C103" s="41"/>
      <c r="D103" s="41"/>
      <c r="E103" s="41"/>
      <c r="F103" s="41"/>
      <c r="G103" s="41"/>
      <c r="H103" s="41"/>
      <c r="I103" s="41"/>
      <c r="J103" s="41"/>
      <c r="K103" s="41"/>
      <c r="L103" s="41"/>
      <c r="M103" s="41"/>
      <c r="N103" s="41"/>
      <c r="O103" s="41"/>
      <c r="P103" s="41"/>
      <c r="Q103" s="41"/>
    </row>
    <row r="104" spans="1:17" x14ac:dyDescent="0.3">
      <c r="B104" s="41"/>
      <c r="C104" s="41"/>
      <c r="D104" s="41"/>
      <c r="E104" s="41"/>
      <c r="F104" s="41"/>
      <c r="G104" s="41"/>
      <c r="H104" s="41"/>
      <c r="I104" s="41"/>
      <c r="J104" s="41"/>
      <c r="K104" s="41"/>
      <c r="L104" s="41"/>
      <c r="M104" s="41"/>
      <c r="N104" s="41"/>
      <c r="O104" s="41"/>
      <c r="P104" s="41"/>
      <c r="Q104" s="41"/>
    </row>
    <row r="105" spans="1:17" x14ac:dyDescent="0.3">
      <c r="B105" s="41"/>
      <c r="C105" s="41"/>
      <c r="D105" s="41"/>
      <c r="E105" s="41"/>
      <c r="F105" s="41"/>
      <c r="G105" s="41"/>
      <c r="H105" s="41"/>
      <c r="I105" s="41"/>
      <c r="J105" s="41"/>
      <c r="K105" s="41"/>
      <c r="L105" s="41"/>
      <c r="M105" s="41"/>
      <c r="N105" s="41"/>
      <c r="O105" s="41"/>
      <c r="P105" s="41"/>
      <c r="Q105" s="41"/>
    </row>
    <row r="106" spans="1:17" x14ac:dyDescent="0.3">
      <c r="B106" s="41"/>
      <c r="C106" s="41"/>
      <c r="D106" s="41"/>
      <c r="E106" s="41"/>
      <c r="F106" s="41"/>
      <c r="G106" s="41"/>
      <c r="H106" s="41"/>
      <c r="I106" s="41"/>
      <c r="J106" s="41"/>
      <c r="K106" s="41"/>
      <c r="L106" s="41"/>
      <c r="M106" s="41"/>
      <c r="N106" s="41"/>
      <c r="O106" s="41"/>
      <c r="P106" s="41"/>
      <c r="Q106" s="41"/>
    </row>
    <row r="107" spans="1:17" x14ac:dyDescent="0.3">
      <c r="B107" s="41"/>
      <c r="C107" s="41"/>
      <c r="D107" s="41"/>
      <c r="E107" s="41"/>
      <c r="F107" s="41"/>
      <c r="G107" s="41"/>
      <c r="H107" s="41"/>
      <c r="I107" s="41"/>
      <c r="J107" s="41"/>
      <c r="K107" s="41"/>
      <c r="L107" s="41"/>
      <c r="M107" s="41"/>
      <c r="N107" s="41"/>
      <c r="O107" s="41"/>
      <c r="P107" s="41"/>
      <c r="Q107" s="41"/>
    </row>
    <row r="108" spans="1:17" x14ac:dyDescent="0.3">
      <c r="B108" s="41"/>
      <c r="C108" s="41"/>
      <c r="D108" s="41"/>
      <c r="E108" s="41"/>
      <c r="F108" s="41"/>
      <c r="G108" s="41"/>
      <c r="H108" s="41"/>
      <c r="I108" s="41"/>
      <c r="J108" s="41"/>
      <c r="K108" s="41"/>
      <c r="L108" s="41"/>
      <c r="M108" s="41"/>
      <c r="N108" s="41"/>
      <c r="O108" s="41"/>
      <c r="P108" s="41"/>
      <c r="Q108" s="41"/>
    </row>
    <row r="109" spans="1:17" x14ac:dyDescent="0.3">
      <c r="B109" s="41"/>
      <c r="C109" s="41"/>
      <c r="D109" s="41"/>
      <c r="E109" s="41"/>
      <c r="F109" s="41"/>
      <c r="G109" s="41"/>
      <c r="H109" s="41"/>
      <c r="I109" s="41"/>
      <c r="J109" s="41"/>
      <c r="K109" s="41"/>
      <c r="L109" s="41"/>
      <c r="M109" s="41"/>
      <c r="N109" s="41"/>
      <c r="O109" s="41"/>
      <c r="P109" s="41"/>
      <c r="Q109" s="41"/>
    </row>
    <row r="110" spans="1:17" x14ac:dyDescent="0.3">
      <c r="B110" s="41"/>
      <c r="C110" s="41"/>
      <c r="D110" s="41"/>
      <c r="E110" s="41"/>
      <c r="F110" s="41"/>
      <c r="G110" s="41"/>
      <c r="H110" s="41"/>
      <c r="I110" s="41"/>
      <c r="J110" s="41"/>
      <c r="K110" s="41"/>
      <c r="L110" s="41"/>
      <c r="M110" s="41"/>
      <c r="N110" s="41"/>
      <c r="O110" s="41"/>
      <c r="P110" s="41"/>
      <c r="Q110" s="41"/>
    </row>
    <row r="111" spans="1:17" x14ac:dyDescent="0.3">
      <c r="B111" s="41"/>
      <c r="C111" s="41"/>
      <c r="D111" s="41"/>
      <c r="E111" s="41"/>
      <c r="F111" s="41"/>
      <c r="G111" s="41"/>
      <c r="H111" s="41"/>
      <c r="I111" s="41"/>
      <c r="J111" s="41"/>
      <c r="K111" s="41"/>
      <c r="L111" s="41"/>
      <c r="M111" s="41"/>
      <c r="N111" s="41"/>
      <c r="O111" s="41"/>
      <c r="P111" s="41"/>
      <c r="Q111" s="41"/>
    </row>
    <row r="112" spans="1:17" x14ac:dyDescent="0.3">
      <c r="B112" s="41"/>
      <c r="C112" s="41"/>
      <c r="D112" s="41"/>
      <c r="E112" s="41"/>
      <c r="F112" s="41"/>
      <c r="G112" s="41"/>
      <c r="H112" s="41"/>
      <c r="I112" s="41"/>
      <c r="J112" s="41"/>
      <c r="K112" s="41"/>
      <c r="L112" s="41"/>
      <c r="M112" s="41"/>
      <c r="N112" s="41"/>
      <c r="O112" s="41"/>
      <c r="P112" s="41"/>
      <c r="Q112" s="41"/>
    </row>
    <row r="113" spans="1:17" ht="15" thickBot="1" x14ac:dyDescent="0.35"/>
    <row r="114" spans="1:17" ht="15" thickBot="1" x14ac:dyDescent="0.35">
      <c r="A114" s="159" t="s">
        <v>635</v>
      </c>
    </row>
    <row r="115" spans="1:17" ht="24" customHeight="1" x14ac:dyDescent="0.3">
      <c r="B115" s="554" t="s">
        <v>25</v>
      </c>
      <c r="C115" s="556" t="s">
        <v>58</v>
      </c>
      <c r="D115" s="556" t="s">
        <v>231</v>
      </c>
      <c r="E115" s="501" t="s">
        <v>60</v>
      </c>
      <c r="F115" s="556" t="s">
        <v>61</v>
      </c>
      <c r="G115" s="524" t="s">
        <v>466</v>
      </c>
      <c r="H115" s="556" t="s">
        <v>235</v>
      </c>
      <c r="I115" s="524" t="s">
        <v>486</v>
      </c>
      <c r="J115" s="514" t="s">
        <v>64</v>
      </c>
      <c r="K115" s="514"/>
      <c r="L115" s="524" t="s">
        <v>555</v>
      </c>
      <c r="M115" s="524" t="s">
        <v>631</v>
      </c>
      <c r="N115" s="568" t="s">
        <v>636</v>
      </c>
      <c r="O115" s="524" t="s">
        <v>566</v>
      </c>
      <c r="P115" s="524" t="s">
        <v>567</v>
      </c>
      <c r="Q115" s="560" t="s">
        <v>634</v>
      </c>
    </row>
    <row r="116" spans="1:17" ht="63" customHeight="1" x14ac:dyDescent="0.3">
      <c r="B116" s="555"/>
      <c r="C116" s="557"/>
      <c r="D116" s="557"/>
      <c r="E116" s="502"/>
      <c r="F116" s="557"/>
      <c r="G116" s="525"/>
      <c r="H116" s="557"/>
      <c r="I116" s="525"/>
      <c r="J116" s="178" t="s">
        <v>276</v>
      </c>
      <c r="K116" s="178" t="s">
        <v>56</v>
      </c>
      <c r="L116" s="525"/>
      <c r="M116" s="525"/>
      <c r="N116" s="569"/>
      <c r="O116" s="525"/>
      <c r="P116" s="525"/>
      <c r="Q116" s="561"/>
    </row>
    <row r="117" spans="1:17" x14ac:dyDescent="0.3">
      <c r="B117" s="41"/>
      <c r="C117" s="41"/>
      <c r="D117" s="41"/>
      <c r="E117" s="41"/>
      <c r="F117" s="41"/>
      <c r="G117" s="41"/>
      <c r="H117" s="41"/>
      <c r="I117" s="41"/>
      <c r="J117" s="41"/>
      <c r="K117" s="41"/>
      <c r="L117" s="41"/>
      <c r="M117" s="41"/>
      <c r="N117" s="41"/>
      <c r="O117" s="41"/>
      <c r="P117" s="41"/>
      <c r="Q117" s="41"/>
    </row>
    <row r="118" spans="1:17" x14ac:dyDescent="0.3">
      <c r="B118" s="41"/>
      <c r="C118" s="41"/>
      <c r="D118" s="41"/>
      <c r="E118" s="41"/>
      <c r="F118" s="41"/>
      <c r="G118" s="41"/>
      <c r="H118" s="41"/>
      <c r="I118" s="41"/>
      <c r="J118" s="41"/>
      <c r="K118" s="41"/>
      <c r="L118" s="41"/>
      <c r="M118" s="41"/>
      <c r="N118" s="41"/>
      <c r="O118" s="41"/>
      <c r="P118" s="41"/>
      <c r="Q118" s="41"/>
    </row>
    <row r="119" spans="1:17" x14ac:dyDescent="0.3">
      <c r="B119" s="41"/>
      <c r="C119" s="41"/>
      <c r="D119" s="41"/>
      <c r="E119" s="41"/>
      <c r="F119" s="41"/>
      <c r="G119" s="41"/>
      <c r="H119" s="41"/>
      <c r="I119" s="41"/>
      <c r="J119" s="41"/>
      <c r="K119" s="41"/>
      <c r="L119" s="41"/>
      <c r="M119" s="41"/>
      <c r="N119" s="41"/>
      <c r="O119" s="41"/>
      <c r="P119" s="41"/>
      <c r="Q119" s="41"/>
    </row>
    <row r="120" spans="1:17" x14ac:dyDescent="0.3">
      <c r="B120" s="41"/>
      <c r="C120" s="41"/>
      <c r="D120" s="41"/>
      <c r="E120" s="41"/>
      <c r="F120" s="41"/>
      <c r="G120" s="41"/>
      <c r="H120" s="41"/>
      <c r="I120" s="41"/>
      <c r="J120" s="41"/>
      <c r="K120" s="41"/>
      <c r="L120" s="41"/>
      <c r="M120" s="41"/>
      <c r="N120" s="41"/>
      <c r="O120" s="41"/>
      <c r="P120" s="41"/>
      <c r="Q120" s="41"/>
    </row>
    <row r="121" spans="1:17" x14ac:dyDescent="0.3">
      <c r="B121" s="41"/>
      <c r="C121" s="41"/>
      <c r="D121" s="41"/>
      <c r="E121" s="41"/>
      <c r="F121" s="41"/>
      <c r="G121" s="41"/>
      <c r="H121" s="41"/>
      <c r="I121" s="41"/>
      <c r="J121" s="41"/>
      <c r="K121" s="41"/>
      <c r="L121" s="41"/>
      <c r="M121" s="41"/>
      <c r="N121" s="41"/>
      <c r="O121" s="41"/>
      <c r="P121" s="41"/>
      <c r="Q121" s="41"/>
    </row>
    <row r="122" spans="1:17" x14ac:dyDescent="0.3">
      <c r="B122" s="41"/>
      <c r="C122" s="41"/>
      <c r="D122" s="41"/>
      <c r="E122" s="41"/>
      <c r="F122" s="41"/>
      <c r="G122" s="41"/>
      <c r="H122" s="41"/>
      <c r="I122" s="41"/>
      <c r="J122" s="41"/>
      <c r="K122" s="41"/>
      <c r="L122" s="41"/>
      <c r="M122" s="41"/>
      <c r="N122" s="41"/>
      <c r="O122" s="41"/>
      <c r="P122" s="41"/>
      <c r="Q122" s="41"/>
    </row>
    <row r="123" spans="1:17" x14ac:dyDescent="0.3">
      <c r="B123" s="41"/>
      <c r="C123" s="41"/>
      <c r="D123" s="41"/>
      <c r="E123" s="41"/>
      <c r="F123" s="41"/>
      <c r="G123" s="41"/>
      <c r="H123" s="41"/>
      <c r="I123" s="41"/>
      <c r="J123" s="41"/>
      <c r="K123" s="41"/>
      <c r="L123" s="41"/>
      <c r="M123" s="41"/>
      <c r="N123" s="41"/>
      <c r="O123" s="41"/>
      <c r="P123" s="41"/>
      <c r="Q123" s="41"/>
    </row>
    <row r="124" spans="1:17" x14ac:dyDescent="0.3">
      <c r="B124" s="41"/>
      <c r="C124" s="41"/>
      <c r="D124" s="41"/>
      <c r="E124" s="41"/>
      <c r="F124" s="41"/>
      <c r="G124" s="41"/>
      <c r="H124" s="41"/>
      <c r="I124" s="41"/>
      <c r="J124" s="41"/>
      <c r="K124" s="41"/>
      <c r="L124" s="41"/>
      <c r="M124" s="41"/>
      <c r="N124" s="41"/>
      <c r="O124" s="41"/>
      <c r="P124" s="41"/>
      <c r="Q124" s="41"/>
    </row>
    <row r="125" spans="1:17" x14ac:dyDescent="0.3">
      <c r="B125" s="41"/>
      <c r="C125" s="41"/>
      <c r="D125" s="41"/>
      <c r="E125" s="41"/>
      <c r="F125" s="41"/>
      <c r="G125" s="41"/>
      <c r="H125" s="41"/>
      <c r="I125" s="41"/>
      <c r="J125" s="41"/>
      <c r="K125" s="41"/>
      <c r="L125" s="41"/>
      <c r="M125" s="41"/>
      <c r="N125" s="41"/>
      <c r="O125" s="41"/>
      <c r="P125" s="41"/>
      <c r="Q125" s="41"/>
    </row>
    <row r="126" spans="1:17" x14ac:dyDescent="0.3">
      <c r="B126" s="41"/>
      <c r="C126" s="41"/>
      <c r="D126" s="41"/>
      <c r="E126" s="41"/>
      <c r="F126" s="41"/>
      <c r="G126" s="41"/>
      <c r="H126" s="41"/>
      <c r="I126" s="41"/>
      <c r="J126" s="41"/>
      <c r="K126" s="41"/>
      <c r="L126" s="41"/>
      <c r="M126" s="41"/>
      <c r="N126" s="41"/>
      <c r="O126" s="41"/>
      <c r="P126" s="41"/>
      <c r="Q126" s="41"/>
    </row>
    <row r="127" spans="1:17" ht="15" thickBot="1" x14ac:dyDescent="0.35"/>
    <row r="128" spans="1:17" ht="15" thickBot="1" x14ac:dyDescent="0.35">
      <c r="A128" s="159" t="s">
        <v>637</v>
      </c>
    </row>
    <row r="129" spans="1:21" ht="18.75" customHeight="1" x14ac:dyDescent="0.3">
      <c r="B129" s="562" t="s">
        <v>25</v>
      </c>
      <c r="C129" s="564" t="s">
        <v>58</v>
      </c>
      <c r="D129" s="564" t="s">
        <v>231</v>
      </c>
      <c r="E129" s="501" t="s">
        <v>60</v>
      </c>
      <c r="F129" s="564" t="s">
        <v>61</v>
      </c>
      <c r="G129" s="550" t="s">
        <v>466</v>
      </c>
      <c r="H129" s="564" t="s">
        <v>235</v>
      </c>
      <c r="I129" s="550" t="s">
        <v>486</v>
      </c>
      <c r="J129" s="514" t="s">
        <v>64</v>
      </c>
      <c r="K129" s="514"/>
      <c r="L129" s="550" t="s">
        <v>638</v>
      </c>
      <c r="M129" s="550" t="s">
        <v>555</v>
      </c>
      <c r="N129" s="550" t="s">
        <v>639</v>
      </c>
      <c r="O129" s="550" t="s">
        <v>640</v>
      </c>
      <c r="P129" s="550" t="s">
        <v>641</v>
      </c>
      <c r="Q129" s="550" t="s">
        <v>642</v>
      </c>
      <c r="R129" s="550" t="s">
        <v>643</v>
      </c>
      <c r="S129" s="550" t="s">
        <v>644</v>
      </c>
      <c r="T129" s="550" t="s">
        <v>645</v>
      </c>
      <c r="U129" s="566" t="s">
        <v>91</v>
      </c>
    </row>
    <row r="130" spans="1:21" ht="117" customHeight="1" x14ac:dyDescent="0.3">
      <c r="B130" s="563"/>
      <c r="C130" s="565"/>
      <c r="D130" s="565"/>
      <c r="E130" s="502"/>
      <c r="F130" s="565"/>
      <c r="G130" s="551"/>
      <c r="H130" s="565"/>
      <c r="I130" s="551"/>
      <c r="J130" s="179" t="s">
        <v>276</v>
      </c>
      <c r="K130" s="179" t="s">
        <v>56</v>
      </c>
      <c r="L130" s="551"/>
      <c r="M130" s="551"/>
      <c r="N130" s="551"/>
      <c r="O130" s="551"/>
      <c r="P130" s="551"/>
      <c r="Q130" s="551"/>
      <c r="R130" s="551"/>
      <c r="S130" s="551"/>
      <c r="T130" s="551"/>
      <c r="U130" s="567"/>
    </row>
    <row r="131" spans="1:21" x14ac:dyDescent="0.3">
      <c r="B131" s="41"/>
      <c r="C131" s="41"/>
      <c r="D131" s="41"/>
      <c r="E131" s="41"/>
      <c r="F131" s="41"/>
      <c r="G131" s="41"/>
      <c r="H131" s="41"/>
      <c r="I131" s="41"/>
      <c r="J131" s="41"/>
      <c r="K131" s="41"/>
      <c r="L131" s="41"/>
      <c r="M131" s="41"/>
      <c r="N131" s="41"/>
      <c r="O131" s="41"/>
      <c r="P131" s="41"/>
      <c r="Q131" s="41"/>
      <c r="R131" s="41"/>
      <c r="S131" s="41"/>
      <c r="T131" s="41"/>
      <c r="U131" s="41"/>
    </row>
    <row r="132" spans="1:21" x14ac:dyDescent="0.3">
      <c r="B132" s="41"/>
      <c r="C132" s="41"/>
      <c r="D132" s="41"/>
      <c r="E132" s="41"/>
      <c r="F132" s="41"/>
      <c r="G132" s="41"/>
      <c r="H132" s="41"/>
      <c r="I132" s="41"/>
      <c r="J132" s="41"/>
      <c r="K132" s="41"/>
      <c r="L132" s="41"/>
      <c r="M132" s="41"/>
      <c r="N132" s="41"/>
      <c r="O132" s="41"/>
      <c r="P132" s="41"/>
      <c r="Q132" s="41"/>
      <c r="R132" s="41"/>
      <c r="S132" s="41"/>
      <c r="T132" s="41"/>
      <c r="U132" s="41"/>
    </row>
    <row r="133" spans="1:21" x14ac:dyDescent="0.3">
      <c r="B133" s="41"/>
      <c r="C133" s="41"/>
      <c r="D133" s="41"/>
      <c r="E133" s="41"/>
      <c r="F133" s="41"/>
      <c r="G133" s="41"/>
      <c r="H133" s="41"/>
      <c r="I133" s="41"/>
      <c r="J133" s="41"/>
      <c r="K133" s="41"/>
      <c r="L133" s="41"/>
      <c r="M133" s="41"/>
      <c r="N133" s="41"/>
      <c r="O133" s="41"/>
      <c r="P133" s="41"/>
      <c r="Q133" s="41"/>
      <c r="R133" s="41"/>
      <c r="S133" s="41"/>
      <c r="T133" s="41"/>
      <c r="U133" s="41"/>
    </row>
    <row r="134" spans="1:21" x14ac:dyDescent="0.3">
      <c r="B134" s="41"/>
      <c r="C134" s="41"/>
      <c r="D134" s="41"/>
      <c r="E134" s="41"/>
      <c r="F134" s="41"/>
      <c r="G134" s="41"/>
      <c r="H134" s="41"/>
      <c r="I134" s="41"/>
      <c r="J134" s="41"/>
      <c r="K134" s="41"/>
      <c r="L134" s="41"/>
      <c r="M134" s="41"/>
      <c r="N134" s="41"/>
      <c r="O134" s="41"/>
      <c r="P134" s="41"/>
      <c r="Q134" s="41"/>
      <c r="R134" s="41"/>
      <c r="S134" s="41"/>
      <c r="T134" s="41"/>
      <c r="U134" s="41"/>
    </row>
    <row r="135" spans="1:21" x14ac:dyDescent="0.3">
      <c r="B135" s="41"/>
      <c r="C135" s="41"/>
      <c r="D135" s="41"/>
      <c r="E135" s="41"/>
      <c r="F135" s="41"/>
      <c r="G135" s="41"/>
      <c r="H135" s="41"/>
      <c r="I135" s="41"/>
      <c r="J135" s="41"/>
      <c r="K135" s="41"/>
      <c r="L135" s="41"/>
      <c r="M135" s="41"/>
      <c r="N135" s="41"/>
      <c r="O135" s="41"/>
      <c r="P135" s="41"/>
      <c r="Q135" s="41"/>
      <c r="R135" s="41"/>
      <c r="S135" s="41"/>
      <c r="T135" s="41"/>
      <c r="U135" s="41"/>
    </row>
    <row r="136" spans="1:21" x14ac:dyDescent="0.3">
      <c r="B136" s="41"/>
      <c r="C136" s="41"/>
      <c r="D136" s="41"/>
      <c r="E136" s="41"/>
      <c r="F136" s="41"/>
      <c r="G136" s="41"/>
      <c r="H136" s="41"/>
      <c r="I136" s="41"/>
      <c r="J136" s="41"/>
      <c r="K136" s="41"/>
      <c r="L136" s="41"/>
      <c r="M136" s="41"/>
      <c r="N136" s="41"/>
      <c r="O136" s="41"/>
      <c r="P136" s="41"/>
      <c r="Q136" s="41"/>
      <c r="R136" s="41"/>
      <c r="S136" s="41"/>
      <c r="T136" s="41"/>
      <c r="U136" s="41"/>
    </row>
    <row r="137" spans="1:21" x14ac:dyDescent="0.3">
      <c r="B137" s="41"/>
      <c r="C137" s="41"/>
      <c r="D137" s="41"/>
      <c r="E137" s="41"/>
      <c r="F137" s="41"/>
      <c r="G137" s="41"/>
      <c r="H137" s="41"/>
      <c r="I137" s="41"/>
      <c r="J137" s="41"/>
      <c r="K137" s="41"/>
      <c r="L137" s="41"/>
      <c r="M137" s="41"/>
      <c r="N137" s="41"/>
      <c r="O137" s="41"/>
      <c r="P137" s="41"/>
      <c r="Q137" s="41"/>
      <c r="R137" s="41"/>
      <c r="S137" s="41"/>
      <c r="T137" s="41"/>
      <c r="U137" s="41"/>
    </row>
    <row r="138" spans="1:21" x14ac:dyDescent="0.3">
      <c r="B138" s="41"/>
      <c r="C138" s="41"/>
      <c r="D138" s="41"/>
      <c r="E138" s="41"/>
      <c r="F138" s="41"/>
      <c r="G138" s="41"/>
      <c r="H138" s="41"/>
      <c r="I138" s="41"/>
      <c r="J138" s="41"/>
      <c r="K138" s="41"/>
      <c r="L138" s="41"/>
      <c r="M138" s="41"/>
      <c r="N138" s="41"/>
      <c r="O138" s="41"/>
      <c r="P138" s="41"/>
      <c r="Q138" s="41"/>
      <c r="R138" s="41"/>
      <c r="S138" s="41"/>
      <c r="T138" s="41"/>
      <c r="U138" s="41"/>
    </row>
    <row r="139" spans="1:21" x14ac:dyDescent="0.3">
      <c r="B139" s="41"/>
      <c r="C139" s="41"/>
      <c r="D139" s="41"/>
      <c r="E139" s="41"/>
      <c r="F139" s="41"/>
      <c r="G139" s="41"/>
      <c r="H139" s="41"/>
      <c r="I139" s="41"/>
      <c r="J139" s="41"/>
      <c r="K139" s="41"/>
      <c r="L139" s="41"/>
      <c r="M139" s="41"/>
      <c r="N139" s="41"/>
      <c r="O139" s="41"/>
      <c r="P139" s="41"/>
      <c r="Q139" s="41"/>
      <c r="R139" s="41"/>
      <c r="S139" s="41"/>
      <c r="T139" s="41"/>
      <c r="U139" s="41"/>
    </row>
    <row r="140" spans="1:21" x14ac:dyDescent="0.3">
      <c r="B140" s="41"/>
      <c r="C140" s="41"/>
      <c r="D140" s="41"/>
      <c r="E140" s="41"/>
      <c r="F140" s="41"/>
      <c r="G140" s="41"/>
      <c r="H140" s="41"/>
      <c r="I140" s="41"/>
      <c r="J140" s="41"/>
      <c r="K140" s="41"/>
      <c r="L140" s="41"/>
      <c r="M140" s="41"/>
      <c r="N140" s="41"/>
      <c r="O140" s="41"/>
      <c r="P140" s="41"/>
      <c r="Q140" s="41"/>
      <c r="R140" s="41"/>
      <c r="S140" s="41"/>
      <c r="T140" s="41"/>
      <c r="U140" s="41"/>
    </row>
    <row r="141" spans="1:21" ht="15" thickBot="1" x14ac:dyDescent="0.35"/>
    <row r="142" spans="1:21" ht="15" thickBot="1" x14ac:dyDescent="0.35">
      <c r="A142" s="159" t="s">
        <v>646</v>
      </c>
    </row>
    <row r="143" spans="1:21" ht="211.2" x14ac:dyDescent="0.3">
      <c r="B143" s="180" t="s">
        <v>25</v>
      </c>
      <c r="C143" s="181" t="s">
        <v>58</v>
      </c>
      <c r="D143" s="181" t="s">
        <v>59</v>
      </c>
      <c r="E143" s="182" t="s">
        <v>485</v>
      </c>
      <c r="F143" s="183" t="s">
        <v>647</v>
      </c>
      <c r="G143" s="181" t="s">
        <v>62</v>
      </c>
      <c r="H143" s="184" t="s">
        <v>236</v>
      </c>
      <c r="I143" s="184" t="s">
        <v>237</v>
      </c>
      <c r="J143" s="182" t="s">
        <v>555</v>
      </c>
      <c r="K143" s="185" t="s">
        <v>648</v>
      </c>
      <c r="L143" s="182" t="s">
        <v>649</v>
      </c>
      <c r="M143" s="182" t="s">
        <v>650</v>
      </c>
      <c r="N143" s="182" t="s">
        <v>651</v>
      </c>
      <c r="O143" s="182" t="s">
        <v>652</v>
      </c>
      <c r="P143" s="182" t="s">
        <v>653</v>
      </c>
      <c r="Q143" s="182" t="s">
        <v>654</v>
      </c>
      <c r="R143" s="182" t="s">
        <v>655</v>
      </c>
      <c r="S143" s="182" t="s">
        <v>656</v>
      </c>
      <c r="T143" s="182" t="s">
        <v>657</v>
      </c>
      <c r="U143" s="186" t="s">
        <v>91</v>
      </c>
    </row>
    <row r="144" spans="1:21" x14ac:dyDescent="0.3">
      <c r="B144" s="41"/>
      <c r="C144" s="41"/>
      <c r="D144" s="41"/>
      <c r="E144" s="41"/>
      <c r="F144" s="41"/>
      <c r="G144" s="41"/>
      <c r="H144" s="41"/>
      <c r="I144" s="41"/>
      <c r="J144" s="41"/>
      <c r="K144" s="41"/>
      <c r="L144" s="41"/>
      <c r="M144" s="41"/>
      <c r="N144" s="41"/>
      <c r="O144" s="41"/>
      <c r="P144" s="41"/>
      <c r="Q144" s="41"/>
      <c r="R144" s="41"/>
      <c r="S144" s="41"/>
      <c r="T144" s="41"/>
      <c r="U144" s="41"/>
    </row>
    <row r="145" spans="2:21" x14ac:dyDescent="0.3">
      <c r="B145" s="41"/>
      <c r="C145" s="41"/>
      <c r="D145" s="41"/>
      <c r="E145" s="41"/>
      <c r="F145" s="41"/>
      <c r="G145" s="41"/>
      <c r="H145" s="41"/>
      <c r="I145" s="41"/>
      <c r="J145" s="41"/>
      <c r="K145" s="41"/>
      <c r="L145" s="41"/>
      <c r="M145" s="41"/>
      <c r="N145" s="41"/>
      <c r="O145" s="41"/>
      <c r="P145" s="41"/>
      <c r="Q145" s="41"/>
      <c r="R145" s="41"/>
      <c r="S145" s="41"/>
      <c r="T145" s="41"/>
      <c r="U145" s="41"/>
    </row>
    <row r="146" spans="2:21" x14ac:dyDescent="0.3">
      <c r="B146" s="41"/>
      <c r="C146" s="41"/>
      <c r="D146" s="41"/>
      <c r="E146" s="41"/>
      <c r="F146" s="41"/>
      <c r="G146" s="41"/>
      <c r="H146" s="41"/>
      <c r="I146" s="41"/>
      <c r="J146" s="41"/>
      <c r="K146" s="41"/>
      <c r="L146" s="41"/>
      <c r="M146" s="41"/>
      <c r="N146" s="41"/>
      <c r="O146" s="41"/>
      <c r="P146" s="41"/>
      <c r="Q146" s="41"/>
      <c r="R146" s="41"/>
      <c r="S146" s="41"/>
      <c r="T146" s="41"/>
      <c r="U146" s="41"/>
    </row>
    <row r="147" spans="2:21" x14ac:dyDescent="0.3">
      <c r="B147" s="41"/>
      <c r="C147" s="41"/>
      <c r="D147" s="41"/>
      <c r="E147" s="41"/>
      <c r="F147" s="41"/>
      <c r="G147" s="41"/>
      <c r="H147" s="41"/>
      <c r="I147" s="41"/>
      <c r="J147" s="41"/>
      <c r="K147" s="41"/>
      <c r="L147" s="41"/>
      <c r="M147" s="41"/>
      <c r="N147" s="41"/>
      <c r="O147" s="41"/>
      <c r="P147" s="41"/>
      <c r="Q147" s="41"/>
      <c r="R147" s="41"/>
      <c r="S147" s="41"/>
      <c r="T147" s="41"/>
      <c r="U147" s="41"/>
    </row>
    <row r="148" spans="2:21" x14ac:dyDescent="0.3">
      <c r="B148" s="41"/>
      <c r="C148" s="41"/>
      <c r="D148" s="41"/>
      <c r="E148" s="41"/>
      <c r="F148" s="41"/>
      <c r="G148" s="41"/>
      <c r="H148" s="41"/>
      <c r="I148" s="41"/>
      <c r="J148" s="41"/>
      <c r="K148" s="41"/>
      <c r="L148" s="41"/>
      <c r="M148" s="41"/>
      <c r="N148" s="41"/>
      <c r="O148" s="41"/>
      <c r="P148" s="41"/>
      <c r="Q148" s="41"/>
      <c r="R148" s="41"/>
      <c r="S148" s="41"/>
      <c r="T148" s="41"/>
      <c r="U148" s="41"/>
    </row>
    <row r="149" spans="2:21" x14ac:dyDescent="0.3">
      <c r="B149" s="41"/>
      <c r="C149" s="41"/>
      <c r="D149" s="41"/>
      <c r="E149" s="41"/>
      <c r="F149" s="41"/>
      <c r="G149" s="41"/>
      <c r="H149" s="41"/>
      <c r="I149" s="41"/>
      <c r="J149" s="41"/>
      <c r="K149" s="41"/>
      <c r="L149" s="41"/>
      <c r="M149" s="41"/>
      <c r="N149" s="41"/>
      <c r="O149" s="41"/>
      <c r="P149" s="41"/>
      <c r="Q149" s="41"/>
      <c r="R149" s="41"/>
      <c r="S149" s="41"/>
      <c r="T149" s="41"/>
      <c r="U149" s="41"/>
    </row>
    <row r="150" spans="2:21" x14ac:dyDescent="0.3">
      <c r="B150" s="41"/>
      <c r="C150" s="41"/>
      <c r="D150" s="41"/>
      <c r="E150" s="41"/>
      <c r="F150" s="41"/>
      <c r="G150" s="41"/>
      <c r="H150" s="41"/>
      <c r="I150" s="41"/>
      <c r="J150" s="41"/>
      <c r="K150" s="41"/>
      <c r="L150" s="41"/>
      <c r="M150" s="41"/>
      <c r="N150" s="41"/>
      <c r="O150" s="41"/>
      <c r="P150" s="41"/>
      <c r="Q150" s="41"/>
      <c r="R150" s="41"/>
      <c r="S150" s="41"/>
      <c r="T150" s="41"/>
      <c r="U150" s="41"/>
    </row>
    <row r="151" spans="2:21" x14ac:dyDescent="0.3">
      <c r="B151" s="41"/>
      <c r="C151" s="41"/>
      <c r="D151" s="41"/>
      <c r="E151" s="41"/>
      <c r="F151" s="41"/>
      <c r="G151" s="41"/>
      <c r="H151" s="41"/>
      <c r="I151" s="41"/>
      <c r="J151" s="41"/>
      <c r="K151" s="41"/>
      <c r="L151" s="41"/>
      <c r="M151" s="41"/>
      <c r="N151" s="41"/>
      <c r="O151" s="41"/>
      <c r="P151" s="41"/>
      <c r="Q151" s="41"/>
      <c r="R151" s="41"/>
      <c r="S151" s="41"/>
      <c r="T151" s="41"/>
      <c r="U151" s="41"/>
    </row>
    <row r="152" spans="2:21" x14ac:dyDescent="0.3">
      <c r="B152" s="41"/>
      <c r="C152" s="41"/>
      <c r="D152" s="41"/>
      <c r="E152" s="41"/>
      <c r="F152" s="41"/>
      <c r="G152" s="41"/>
      <c r="H152" s="41"/>
      <c r="I152" s="41"/>
      <c r="J152" s="41"/>
      <c r="K152" s="41"/>
      <c r="L152" s="41"/>
      <c r="M152" s="41"/>
      <c r="N152" s="41"/>
      <c r="O152" s="41"/>
      <c r="P152" s="41"/>
      <c r="Q152" s="41"/>
      <c r="R152" s="41"/>
      <c r="S152" s="41"/>
      <c r="T152" s="41"/>
      <c r="U152" s="41"/>
    </row>
    <row r="153" spans="2:21" x14ac:dyDescent="0.3">
      <c r="B153" s="41"/>
      <c r="C153" s="41"/>
      <c r="D153" s="41"/>
      <c r="E153" s="41"/>
      <c r="F153" s="41"/>
      <c r="G153" s="41"/>
      <c r="H153" s="41"/>
      <c r="I153" s="41"/>
      <c r="J153" s="41"/>
      <c r="K153" s="41"/>
      <c r="L153" s="41"/>
      <c r="M153" s="41"/>
      <c r="N153" s="41"/>
      <c r="O153" s="41"/>
      <c r="P153" s="41"/>
      <c r="Q153" s="41"/>
      <c r="R153" s="41"/>
      <c r="S153" s="41"/>
      <c r="T153" s="41"/>
      <c r="U153" s="41"/>
    </row>
  </sheetData>
  <mergeCells count="175">
    <mergeCell ref="U129:U130"/>
    <mergeCell ref="J129:K129"/>
    <mergeCell ref="L129:L130"/>
    <mergeCell ref="M129:M130"/>
    <mergeCell ref="N129:N130"/>
    <mergeCell ref="O129:O130"/>
    <mergeCell ref="P129:P130"/>
    <mergeCell ref="J115:K115"/>
    <mergeCell ref="L115:L116"/>
    <mergeCell ref="M115:M116"/>
    <mergeCell ref="N115:N116"/>
    <mergeCell ref="O115:O116"/>
    <mergeCell ref="Q129:Q130"/>
    <mergeCell ref="R129:R130"/>
    <mergeCell ref="S129:S130"/>
    <mergeCell ref="T129:T130"/>
    <mergeCell ref="B129:B130"/>
    <mergeCell ref="C129:C130"/>
    <mergeCell ref="D129:D130"/>
    <mergeCell ref="E129:E130"/>
    <mergeCell ref="F129:F130"/>
    <mergeCell ref="G129:G130"/>
    <mergeCell ref="H129:H130"/>
    <mergeCell ref="I129:I130"/>
    <mergeCell ref="I115:I116"/>
    <mergeCell ref="O101:O102"/>
    <mergeCell ref="P101:P102"/>
    <mergeCell ref="Q101:Q102"/>
    <mergeCell ref="B115:B116"/>
    <mergeCell ref="C115:C116"/>
    <mergeCell ref="D115:D116"/>
    <mergeCell ref="E115:E116"/>
    <mergeCell ref="F115:F116"/>
    <mergeCell ref="G115:G116"/>
    <mergeCell ref="H115:H116"/>
    <mergeCell ref="H101:H102"/>
    <mergeCell ref="I101:I102"/>
    <mergeCell ref="J101:K101"/>
    <mergeCell ref="L101:L102"/>
    <mergeCell ref="M101:M102"/>
    <mergeCell ref="N101:N102"/>
    <mergeCell ref="B101:B102"/>
    <mergeCell ref="C101:C102"/>
    <mergeCell ref="D101:D102"/>
    <mergeCell ref="E101:E102"/>
    <mergeCell ref="F101:F102"/>
    <mergeCell ref="G101:G102"/>
    <mergeCell ref="P115:P116"/>
    <mergeCell ref="Q115:Q116"/>
    <mergeCell ref="L87:L88"/>
    <mergeCell ref="M87:M88"/>
    <mergeCell ref="N87:N88"/>
    <mergeCell ref="O87:O88"/>
    <mergeCell ref="P87:P88"/>
    <mergeCell ref="Q87:Q88"/>
    <mergeCell ref="W32:W33"/>
    <mergeCell ref="B87:B88"/>
    <mergeCell ref="C87:C88"/>
    <mergeCell ref="D87:D88"/>
    <mergeCell ref="E87:E88"/>
    <mergeCell ref="F87:F88"/>
    <mergeCell ref="G87:G88"/>
    <mergeCell ref="H87:H88"/>
    <mergeCell ref="I87:I88"/>
    <mergeCell ref="J87:K87"/>
    <mergeCell ref="Q32:Q33"/>
    <mergeCell ref="R32:R33"/>
    <mergeCell ref="S32:S33"/>
    <mergeCell ref="T32:T33"/>
    <mergeCell ref="U32:U33"/>
    <mergeCell ref="V32:V33"/>
    <mergeCell ref="J32:K32"/>
    <mergeCell ref="L32:L33"/>
    <mergeCell ref="B60:B61"/>
    <mergeCell ref="D60:D61"/>
    <mergeCell ref="E60:E61"/>
    <mergeCell ref="F60:F61"/>
    <mergeCell ref="G60:G61"/>
    <mergeCell ref="H60:H61"/>
    <mergeCell ref="AH60:AH61"/>
    <mergeCell ref="J73:K73"/>
    <mergeCell ref="B32:B33"/>
    <mergeCell ref="C32:C33"/>
    <mergeCell ref="D32:D33"/>
    <mergeCell ref="E32:E33"/>
    <mergeCell ref="F32:F33"/>
    <mergeCell ref="G32:G33"/>
    <mergeCell ref="H32:H33"/>
    <mergeCell ref="I32:I33"/>
    <mergeCell ref="AB60:AB61"/>
    <mergeCell ref="AC60:AC61"/>
    <mergeCell ref="AD60:AD61"/>
    <mergeCell ref="AE60:AE61"/>
    <mergeCell ref="AF60:AF61"/>
    <mergeCell ref="AG60:AG61"/>
    <mergeCell ref="V60:V61"/>
    <mergeCell ref="W60:W61"/>
    <mergeCell ref="I46:I47"/>
    <mergeCell ref="J46:K46"/>
    <mergeCell ref="L46:L47"/>
    <mergeCell ref="M46:M47"/>
    <mergeCell ref="O60:O61"/>
    <mergeCell ref="M32:M33"/>
    <mergeCell ref="N32:N33"/>
    <mergeCell ref="O32:O33"/>
    <mergeCell ref="P32:P33"/>
    <mergeCell ref="J60:J61"/>
    <mergeCell ref="K60:L60"/>
    <mergeCell ref="M60:M61"/>
    <mergeCell ref="N60:N61"/>
    <mergeCell ref="Z60:Z61"/>
    <mergeCell ref="AA60:AA61"/>
    <mergeCell ref="P60:P61"/>
    <mergeCell ref="Q60:Q61"/>
    <mergeCell ref="R60:R61"/>
    <mergeCell ref="S60:S61"/>
    <mergeCell ref="T60:T61"/>
    <mergeCell ref="U60:U61"/>
    <mergeCell ref="I60:I61"/>
    <mergeCell ref="X60:X61"/>
    <mergeCell ref="Y60:Y61"/>
    <mergeCell ref="AD46:AD47"/>
    <mergeCell ref="AE46:AE47"/>
    <mergeCell ref="AF46:AF47"/>
    <mergeCell ref="N46:N47"/>
    <mergeCell ref="O46:O47"/>
    <mergeCell ref="P46:P47"/>
    <mergeCell ref="Q46:Q47"/>
    <mergeCell ref="R46:R47"/>
    <mergeCell ref="S46:S47"/>
    <mergeCell ref="T46:AA46"/>
    <mergeCell ref="AB46:AB47"/>
    <mergeCell ref="AC46:AC47"/>
    <mergeCell ref="O18:O19"/>
    <mergeCell ref="P18:P19"/>
    <mergeCell ref="Q18:Q19"/>
    <mergeCell ref="R18:R19"/>
    <mergeCell ref="S18:S19"/>
    <mergeCell ref="B46:B47"/>
    <mergeCell ref="C46:C47"/>
    <mergeCell ref="D46:D47"/>
    <mergeCell ref="E46:E47"/>
    <mergeCell ref="F46:F47"/>
    <mergeCell ref="H18:H19"/>
    <mergeCell ref="I18:I19"/>
    <mergeCell ref="J18:K18"/>
    <mergeCell ref="L18:L19"/>
    <mergeCell ref="M18:M19"/>
    <mergeCell ref="N18:N19"/>
    <mergeCell ref="B18:B19"/>
    <mergeCell ref="C18:C19"/>
    <mergeCell ref="D18:D19"/>
    <mergeCell ref="E18:E19"/>
    <mergeCell ref="F18:F19"/>
    <mergeCell ref="G18:G19"/>
    <mergeCell ref="G46:G47"/>
    <mergeCell ref="H46:H47"/>
    <mergeCell ref="R4:R5"/>
    <mergeCell ref="S4:S5"/>
    <mergeCell ref="T4:T5"/>
    <mergeCell ref="H4:H5"/>
    <mergeCell ref="I4:I5"/>
    <mergeCell ref="J4:K4"/>
    <mergeCell ref="L4:L5"/>
    <mergeCell ref="M4:M5"/>
    <mergeCell ref="N4:N5"/>
    <mergeCell ref="B4:B5"/>
    <mergeCell ref="C4:C5"/>
    <mergeCell ref="D4:D5"/>
    <mergeCell ref="E4:E5"/>
    <mergeCell ref="F4:F5"/>
    <mergeCell ref="G4:G5"/>
    <mergeCell ref="O4:O5"/>
    <mergeCell ref="P4:P5"/>
    <mergeCell ref="Q4:Q5"/>
  </mergeCells>
  <conditionalFormatting sqref="C4">
    <cfRule type="duplicateValues" dxfId="12" priority="10"/>
    <cfRule type="duplicateValues" dxfId="11" priority="11"/>
    <cfRule type="duplicateValues" dxfId="10" priority="12"/>
    <cfRule type="duplicateValues" dxfId="9" priority="13"/>
  </conditionalFormatting>
  <conditionalFormatting sqref="C32">
    <cfRule type="duplicateValues" dxfId="8" priority="3"/>
    <cfRule type="duplicateValues" dxfId="7" priority="4"/>
  </conditionalFormatting>
  <conditionalFormatting sqref="C46:C47">
    <cfRule type="duplicateValues" dxfId="6" priority="5"/>
    <cfRule type="duplicateValues" dxfId="5" priority="6"/>
    <cfRule type="duplicateValues" dxfId="4" priority="7" stopIfTrue="1"/>
  </conditionalFormatting>
  <conditionalFormatting sqref="C87">
    <cfRule type="duplicateValues" dxfId="3" priority="2"/>
  </conditionalFormatting>
  <conditionalFormatting sqref="C129">
    <cfRule type="duplicateValues" dxfId="2" priority="1"/>
  </conditionalFormatting>
  <conditionalFormatting sqref="C143">
    <cfRule type="duplicateValues" dxfId="1" priority="8"/>
    <cfRule type="duplicateValues" dxfId="0" priority="9"/>
  </conditionalFormatting>
  <pageMargins left="0.511811024" right="0.511811024" top="0.78740157499999996" bottom="0.78740157499999996" header="0.31496062000000002" footer="0.31496062000000002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207"/>
  <sheetViews>
    <sheetView showGridLines="0" zoomScale="90" zoomScaleNormal="90" workbookViewId="0">
      <pane ySplit="3" topLeftCell="A4" activePane="bottomLeft" state="frozenSplit"/>
      <selection activeCell="A4" sqref="A4"/>
      <selection pane="bottomLeft" activeCell="A141" sqref="A141"/>
    </sheetView>
  </sheetViews>
  <sheetFormatPr defaultRowHeight="14.4" x14ac:dyDescent="0.3"/>
  <cols>
    <col min="1" max="1" width="12.88671875" style="8" customWidth="1"/>
    <col min="2" max="2" width="47.5546875" style="8" customWidth="1"/>
    <col min="3" max="3" width="36.88671875" style="8" customWidth="1"/>
    <col min="4" max="4" width="75" style="8" customWidth="1"/>
    <col min="5" max="5" width="5.33203125" customWidth="1"/>
    <col min="6" max="6" width="5.6640625" customWidth="1"/>
    <col min="7" max="7" width="5.88671875" customWidth="1"/>
    <col min="8" max="8" width="4.6640625" customWidth="1"/>
    <col min="9" max="9" width="6.33203125" customWidth="1"/>
    <col min="10" max="10" width="6.5546875" customWidth="1"/>
    <col min="11" max="11" width="6" customWidth="1"/>
    <col min="12" max="12" width="5.6640625" customWidth="1"/>
    <col min="13" max="13" width="5.5546875" customWidth="1"/>
    <col min="14" max="14" width="4.33203125" customWidth="1"/>
    <col min="15" max="15" width="10.109375" bestFit="1" customWidth="1"/>
    <col min="17" max="17" width="31.88671875" bestFit="1" customWidth="1"/>
    <col min="18" max="18" width="24.5546875" bestFit="1" customWidth="1"/>
    <col min="257" max="257" width="11.109375" customWidth="1"/>
    <col min="258" max="258" width="16" customWidth="1"/>
    <col min="259" max="259" width="27.5546875" customWidth="1"/>
    <col min="260" max="260" width="25.6640625" customWidth="1"/>
    <col min="261" max="261" width="5.33203125" customWidth="1"/>
    <col min="262" max="262" width="5.6640625" customWidth="1"/>
    <col min="263" max="263" width="5.88671875" customWidth="1"/>
    <col min="264" max="264" width="4.6640625" customWidth="1"/>
    <col min="265" max="265" width="6.33203125" customWidth="1"/>
    <col min="266" max="266" width="6.5546875" customWidth="1"/>
    <col min="267" max="267" width="6" customWidth="1"/>
    <col min="268" max="268" width="5.6640625" customWidth="1"/>
    <col min="269" max="269" width="5.5546875" customWidth="1"/>
    <col min="270" max="270" width="4.33203125" customWidth="1"/>
    <col min="271" max="271" width="10.109375" bestFit="1" customWidth="1"/>
    <col min="273" max="273" width="31.88671875" bestFit="1" customWidth="1"/>
    <col min="274" max="274" width="24.5546875" bestFit="1" customWidth="1"/>
    <col min="513" max="513" width="11.109375" customWidth="1"/>
    <col min="514" max="514" width="16" customWidth="1"/>
    <col min="515" max="515" width="27.5546875" customWidth="1"/>
    <col min="516" max="516" width="25.6640625" customWidth="1"/>
    <col min="517" max="517" width="5.33203125" customWidth="1"/>
    <col min="518" max="518" width="5.6640625" customWidth="1"/>
    <col min="519" max="519" width="5.88671875" customWidth="1"/>
    <col min="520" max="520" width="4.6640625" customWidth="1"/>
    <col min="521" max="521" width="6.33203125" customWidth="1"/>
    <col min="522" max="522" width="6.5546875" customWidth="1"/>
    <col min="523" max="523" width="6" customWidth="1"/>
    <col min="524" max="524" width="5.6640625" customWidth="1"/>
    <col min="525" max="525" width="5.5546875" customWidth="1"/>
    <col min="526" max="526" width="4.33203125" customWidth="1"/>
    <col min="527" max="527" width="10.109375" bestFit="1" customWidth="1"/>
    <col min="529" max="529" width="31.88671875" bestFit="1" customWidth="1"/>
    <col min="530" max="530" width="24.5546875" bestFit="1" customWidth="1"/>
    <col min="769" max="769" width="11.109375" customWidth="1"/>
    <col min="770" max="770" width="16" customWidth="1"/>
    <col min="771" max="771" width="27.5546875" customWidth="1"/>
    <col min="772" max="772" width="25.6640625" customWidth="1"/>
    <col min="773" max="773" width="5.33203125" customWidth="1"/>
    <col min="774" max="774" width="5.6640625" customWidth="1"/>
    <col min="775" max="775" width="5.88671875" customWidth="1"/>
    <col min="776" max="776" width="4.6640625" customWidth="1"/>
    <col min="777" max="777" width="6.33203125" customWidth="1"/>
    <col min="778" max="778" width="6.5546875" customWidth="1"/>
    <col min="779" max="779" width="6" customWidth="1"/>
    <col min="780" max="780" width="5.6640625" customWidth="1"/>
    <col min="781" max="781" width="5.5546875" customWidth="1"/>
    <col min="782" max="782" width="4.33203125" customWidth="1"/>
    <col min="783" max="783" width="10.109375" bestFit="1" customWidth="1"/>
    <col min="785" max="785" width="31.88671875" bestFit="1" customWidth="1"/>
    <col min="786" max="786" width="24.5546875" bestFit="1" customWidth="1"/>
    <col min="1025" max="1025" width="11.109375" customWidth="1"/>
    <col min="1026" max="1026" width="16" customWidth="1"/>
    <col min="1027" max="1027" width="27.5546875" customWidth="1"/>
    <col min="1028" max="1028" width="25.6640625" customWidth="1"/>
    <col min="1029" max="1029" width="5.33203125" customWidth="1"/>
    <col min="1030" max="1030" width="5.6640625" customWidth="1"/>
    <col min="1031" max="1031" width="5.88671875" customWidth="1"/>
    <col min="1032" max="1032" width="4.6640625" customWidth="1"/>
    <col min="1033" max="1033" width="6.33203125" customWidth="1"/>
    <col min="1034" max="1034" width="6.5546875" customWidth="1"/>
    <col min="1035" max="1035" width="6" customWidth="1"/>
    <col min="1036" max="1036" width="5.6640625" customWidth="1"/>
    <col min="1037" max="1037" width="5.5546875" customWidth="1"/>
    <col min="1038" max="1038" width="4.33203125" customWidth="1"/>
    <col min="1039" max="1039" width="10.109375" bestFit="1" customWidth="1"/>
    <col min="1041" max="1041" width="31.88671875" bestFit="1" customWidth="1"/>
    <col min="1042" max="1042" width="24.5546875" bestFit="1" customWidth="1"/>
    <col min="1281" max="1281" width="11.109375" customWidth="1"/>
    <col min="1282" max="1282" width="16" customWidth="1"/>
    <col min="1283" max="1283" width="27.5546875" customWidth="1"/>
    <col min="1284" max="1284" width="25.6640625" customWidth="1"/>
    <col min="1285" max="1285" width="5.33203125" customWidth="1"/>
    <col min="1286" max="1286" width="5.6640625" customWidth="1"/>
    <col min="1287" max="1287" width="5.88671875" customWidth="1"/>
    <col min="1288" max="1288" width="4.6640625" customWidth="1"/>
    <col min="1289" max="1289" width="6.33203125" customWidth="1"/>
    <col min="1290" max="1290" width="6.5546875" customWidth="1"/>
    <col min="1291" max="1291" width="6" customWidth="1"/>
    <col min="1292" max="1292" width="5.6640625" customWidth="1"/>
    <col min="1293" max="1293" width="5.5546875" customWidth="1"/>
    <col min="1294" max="1294" width="4.33203125" customWidth="1"/>
    <col min="1295" max="1295" width="10.109375" bestFit="1" customWidth="1"/>
    <col min="1297" max="1297" width="31.88671875" bestFit="1" customWidth="1"/>
    <col min="1298" max="1298" width="24.5546875" bestFit="1" customWidth="1"/>
    <col min="1537" max="1537" width="11.109375" customWidth="1"/>
    <col min="1538" max="1538" width="16" customWidth="1"/>
    <col min="1539" max="1539" width="27.5546875" customWidth="1"/>
    <col min="1540" max="1540" width="25.6640625" customWidth="1"/>
    <col min="1541" max="1541" width="5.33203125" customWidth="1"/>
    <col min="1542" max="1542" width="5.6640625" customWidth="1"/>
    <col min="1543" max="1543" width="5.88671875" customWidth="1"/>
    <col min="1544" max="1544" width="4.6640625" customWidth="1"/>
    <col min="1545" max="1545" width="6.33203125" customWidth="1"/>
    <col min="1546" max="1546" width="6.5546875" customWidth="1"/>
    <col min="1547" max="1547" width="6" customWidth="1"/>
    <col min="1548" max="1548" width="5.6640625" customWidth="1"/>
    <col min="1549" max="1549" width="5.5546875" customWidth="1"/>
    <col min="1550" max="1550" width="4.33203125" customWidth="1"/>
    <col min="1551" max="1551" width="10.109375" bestFit="1" customWidth="1"/>
    <col min="1553" max="1553" width="31.88671875" bestFit="1" customWidth="1"/>
    <col min="1554" max="1554" width="24.5546875" bestFit="1" customWidth="1"/>
    <col min="1793" max="1793" width="11.109375" customWidth="1"/>
    <col min="1794" max="1794" width="16" customWidth="1"/>
    <col min="1795" max="1795" width="27.5546875" customWidth="1"/>
    <col min="1796" max="1796" width="25.6640625" customWidth="1"/>
    <col min="1797" max="1797" width="5.33203125" customWidth="1"/>
    <col min="1798" max="1798" width="5.6640625" customWidth="1"/>
    <col min="1799" max="1799" width="5.88671875" customWidth="1"/>
    <col min="1800" max="1800" width="4.6640625" customWidth="1"/>
    <col min="1801" max="1801" width="6.33203125" customWidth="1"/>
    <col min="1802" max="1802" width="6.5546875" customWidth="1"/>
    <col min="1803" max="1803" width="6" customWidth="1"/>
    <col min="1804" max="1804" width="5.6640625" customWidth="1"/>
    <col min="1805" max="1805" width="5.5546875" customWidth="1"/>
    <col min="1806" max="1806" width="4.33203125" customWidth="1"/>
    <col min="1807" max="1807" width="10.109375" bestFit="1" customWidth="1"/>
    <col min="1809" max="1809" width="31.88671875" bestFit="1" customWidth="1"/>
    <col min="1810" max="1810" width="24.5546875" bestFit="1" customWidth="1"/>
    <col min="2049" max="2049" width="11.109375" customWidth="1"/>
    <col min="2050" max="2050" width="16" customWidth="1"/>
    <col min="2051" max="2051" width="27.5546875" customWidth="1"/>
    <col min="2052" max="2052" width="25.6640625" customWidth="1"/>
    <col min="2053" max="2053" width="5.33203125" customWidth="1"/>
    <col min="2054" max="2054" width="5.6640625" customWidth="1"/>
    <col min="2055" max="2055" width="5.88671875" customWidth="1"/>
    <col min="2056" max="2056" width="4.6640625" customWidth="1"/>
    <col min="2057" max="2057" width="6.33203125" customWidth="1"/>
    <col min="2058" max="2058" width="6.5546875" customWidth="1"/>
    <col min="2059" max="2059" width="6" customWidth="1"/>
    <col min="2060" max="2060" width="5.6640625" customWidth="1"/>
    <col min="2061" max="2061" width="5.5546875" customWidth="1"/>
    <col min="2062" max="2062" width="4.33203125" customWidth="1"/>
    <col min="2063" max="2063" width="10.109375" bestFit="1" customWidth="1"/>
    <col min="2065" max="2065" width="31.88671875" bestFit="1" customWidth="1"/>
    <col min="2066" max="2066" width="24.5546875" bestFit="1" customWidth="1"/>
    <col min="2305" max="2305" width="11.109375" customWidth="1"/>
    <col min="2306" max="2306" width="16" customWidth="1"/>
    <col min="2307" max="2307" width="27.5546875" customWidth="1"/>
    <col min="2308" max="2308" width="25.6640625" customWidth="1"/>
    <col min="2309" max="2309" width="5.33203125" customWidth="1"/>
    <col min="2310" max="2310" width="5.6640625" customWidth="1"/>
    <col min="2311" max="2311" width="5.88671875" customWidth="1"/>
    <col min="2312" max="2312" width="4.6640625" customWidth="1"/>
    <col min="2313" max="2313" width="6.33203125" customWidth="1"/>
    <col min="2314" max="2314" width="6.5546875" customWidth="1"/>
    <col min="2315" max="2315" width="6" customWidth="1"/>
    <col min="2316" max="2316" width="5.6640625" customWidth="1"/>
    <col min="2317" max="2317" width="5.5546875" customWidth="1"/>
    <col min="2318" max="2318" width="4.33203125" customWidth="1"/>
    <col min="2319" max="2319" width="10.109375" bestFit="1" customWidth="1"/>
    <col min="2321" max="2321" width="31.88671875" bestFit="1" customWidth="1"/>
    <col min="2322" max="2322" width="24.5546875" bestFit="1" customWidth="1"/>
    <col min="2561" max="2561" width="11.109375" customWidth="1"/>
    <col min="2562" max="2562" width="16" customWidth="1"/>
    <col min="2563" max="2563" width="27.5546875" customWidth="1"/>
    <col min="2564" max="2564" width="25.6640625" customWidth="1"/>
    <col min="2565" max="2565" width="5.33203125" customWidth="1"/>
    <col min="2566" max="2566" width="5.6640625" customWidth="1"/>
    <col min="2567" max="2567" width="5.88671875" customWidth="1"/>
    <col min="2568" max="2568" width="4.6640625" customWidth="1"/>
    <col min="2569" max="2569" width="6.33203125" customWidth="1"/>
    <col min="2570" max="2570" width="6.5546875" customWidth="1"/>
    <col min="2571" max="2571" width="6" customWidth="1"/>
    <col min="2572" max="2572" width="5.6640625" customWidth="1"/>
    <col min="2573" max="2573" width="5.5546875" customWidth="1"/>
    <col min="2574" max="2574" width="4.33203125" customWidth="1"/>
    <col min="2575" max="2575" width="10.109375" bestFit="1" customWidth="1"/>
    <col min="2577" max="2577" width="31.88671875" bestFit="1" customWidth="1"/>
    <col min="2578" max="2578" width="24.5546875" bestFit="1" customWidth="1"/>
    <col min="2817" max="2817" width="11.109375" customWidth="1"/>
    <col min="2818" max="2818" width="16" customWidth="1"/>
    <col min="2819" max="2819" width="27.5546875" customWidth="1"/>
    <col min="2820" max="2820" width="25.6640625" customWidth="1"/>
    <col min="2821" max="2821" width="5.33203125" customWidth="1"/>
    <col min="2822" max="2822" width="5.6640625" customWidth="1"/>
    <col min="2823" max="2823" width="5.88671875" customWidth="1"/>
    <col min="2824" max="2824" width="4.6640625" customWidth="1"/>
    <col min="2825" max="2825" width="6.33203125" customWidth="1"/>
    <col min="2826" max="2826" width="6.5546875" customWidth="1"/>
    <col min="2827" max="2827" width="6" customWidth="1"/>
    <col min="2828" max="2828" width="5.6640625" customWidth="1"/>
    <col min="2829" max="2829" width="5.5546875" customWidth="1"/>
    <col min="2830" max="2830" width="4.33203125" customWidth="1"/>
    <col min="2831" max="2831" width="10.109375" bestFit="1" customWidth="1"/>
    <col min="2833" max="2833" width="31.88671875" bestFit="1" customWidth="1"/>
    <col min="2834" max="2834" width="24.5546875" bestFit="1" customWidth="1"/>
    <col min="3073" max="3073" width="11.109375" customWidth="1"/>
    <col min="3074" max="3074" width="16" customWidth="1"/>
    <col min="3075" max="3075" width="27.5546875" customWidth="1"/>
    <col min="3076" max="3076" width="25.6640625" customWidth="1"/>
    <col min="3077" max="3077" width="5.33203125" customWidth="1"/>
    <col min="3078" max="3078" width="5.6640625" customWidth="1"/>
    <col min="3079" max="3079" width="5.88671875" customWidth="1"/>
    <col min="3080" max="3080" width="4.6640625" customWidth="1"/>
    <col min="3081" max="3081" width="6.33203125" customWidth="1"/>
    <col min="3082" max="3082" width="6.5546875" customWidth="1"/>
    <col min="3083" max="3083" width="6" customWidth="1"/>
    <col min="3084" max="3084" width="5.6640625" customWidth="1"/>
    <col min="3085" max="3085" width="5.5546875" customWidth="1"/>
    <col min="3086" max="3086" width="4.33203125" customWidth="1"/>
    <col min="3087" max="3087" width="10.109375" bestFit="1" customWidth="1"/>
    <col min="3089" max="3089" width="31.88671875" bestFit="1" customWidth="1"/>
    <col min="3090" max="3090" width="24.5546875" bestFit="1" customWidth="1"/>
    <col min="3329" max="3329" width="11.109375" customWidth="1"/>
    <col min="3330" max="3330" width="16" customWidth="1"/>
    <col min="3331" max="3331" width="27.5546875" customWidth="1"/>
    <col min="3332" max="3332" width="25.6640625" customWidth="1"/>
    <col min="3333" max="3333" width="5.33203125" customWidth="1"/>
    <col min="3334" max="3334" width="5.6640625" customWidth="1"/>
    <col min="3335" max="3335" width="5.88671875" customWidth="1"/>
    <col min="3336" max="3336" width="4.6640625" customWidth="1"/>
    <col min="3337" max="3337" width="6.33203125" customWidth="1"/>
    <col min="3338" max="3338" width="6.5546875" customWidth="1"/>
    <col min="3339" max="3339" width="6" customWidth="1"/>
    <col min="3340" max="3340" width="5.6640625" customWidth="1"/>
    <col min="3341" max="3341" width="5.5546875" customWidth="1"/>
    <col min="3342" max="3342" width="4.33203125" customWidth="1"/>
    <col min="3343" max="3343" width="10.109375" bestFit="1" customWidth="1"/>
    <col min="3345" max="3345" width="31.88671875" bestFit="1" customWidth="1"/>
    <col min="3346" max="3346" width="24.5546875" bestFit="1" customWidth="1"/>
    <col min="3585" max="3585" width="11.109375" customWidth="1"/>
    <col min="3586" max="3586" width="16" customWidth="1"/>
    <col min="3587" max="3587" width="27.5546875" customWidth="1"/>
    <col min="3588" max="3588" width="25.6640625" customWidth="1"/>
    <col min="3589" max="3589" width="5.33203125" customWidth="1"/>
    <col min="3590" max="3590" width="5.6640625" customWidth="1"/>
    <col min="3591" max="3591" width="5.88671875" customWidth="1"/>
    <col min="3592" max="3592" width="4.6640625" customWidth="1"/>
    <col min="3593" max="3593" width="6.33203125" customWidth="1"/>
    <col min="3594" max="3594" width="6.5546875" customWidth="1"/>
    <col min="3595" max="3595" width="6" customWidth="1"/>
    <col min="3596" max="3596" width="5.6640625" customWidth="1"/>
    <col min="3597" max="3597" width="5.5546875" customWidth="1"/>
    <col min="3598" max="3598" width="4.33203125" customWidth="1"/>
    <col min="3599" max="3599" width="10.109375" bestFit="1" customWidth="1"/>
    <col min="3601" max="3601" width="31.88671875" bestFit="1" customWidth="1"/>
    <col min="3602" max="3602" width="24.5546875" bestFit="1" customWidth="1"/>
    <col min="3841" max="3841" width="11.109375" customWidth="1"/>
    <col min="3842" max="3842" width="16" customWidth="1"/>
    <col min="3843" max="3843" width="27.5546875" customWidth="1"/>
    <col min="3844" max="3844" width="25.6640625" customWidth="1"/>
    <col min="3845" max="3845" width="5.33203125" customWidth="1"/>
    <col min="3846" max="3846" width="5.6640625" customWidth="1"/>
    <col min="3847" max="3847" width="5.88671875" customWidth="1"/>
    <col min="3848" max="3848" width="4.6640625" customWidth="1"/>
    <col min="3849" max="3849" width="6.33203125" customWidth="1"/>
    <col min="3850" max="3850" width="6.5546875" customWidth="1"/>
    <col min="3851" max="3851" width="6" customWidth="1"/>
    <col min="3852" max="3852" width="5.6640625" customWidth="1"/>
    <col min="3853" max="3853" width="5.5546875" customWidth="1"/>
    <col min="3854" max="3854" width="4.33203125" customWidth="1"/>
    <col min="3855" max="3855" width="10.109375" bestFit="1" customWidth="1"/>
    <col min="3857" max="3857" width="31.88671875" bestFit="1" customWidth="1"/>
    <col min="3858" max="3858" width="24.5546875" bestFit="1" customWidth="1"/>
    <col min="4097" max="4097" width="11.109375" customWidth="1"/>
    <col min="4098" max="4098" width="16" customWidth="1"/>
    <col min="4099" max="4099" width="27.5546875" customWidth="1"/>
    <col min="4100" max="4100" width="25.6640625" customWidth="1"/>
    <col min="4101" max="4101" width="5.33203125" customWidth="1"/>
    <col min="4102" max="4102" width="5.6640625" customWidth="1"/>
    <col min="4103" max="4103" width="5.88671875" customWidth="1"/>
    <col min="4104" max="4104" width="4.6640625" customWidth="1"/>
    <col min="4105" max="4105" width="6.33203125" customWidth="1"/>
    <col min="4106" max="4106" width="6.5546875" customWidth="1"/>
    <col min="4107" max="4107" width="6" customWidth="1"/>
    <col min="4108" max="4108" width="5.6640625" customWidth="1"/>
    <col min="4109" max="4109" width="5.5546875" customWidth="1"/>
    <col min="4110" max="4110" width="4.33203125" customWidth="1"/>
    <col min="4111" max="4111" width="10.109375" bestFit="1" customWidth="1"/>
    <col min="4113" max="4113" width="31.88671875" bestFit="1" customWidth="1"/>
    <col min="4114" max="4114" width="24.5546875" bestFit="1" customWidth="1"/>
    <col min="4353" max="4353" width="11.109375" customWidth="1"/>
    <col min="4354" max="4354" width="16" customWidth="1"/>
    <col min="4355" max="4355" width="27.5546875" customWidth="1"/>
    <col min="4356" max="4356" width="25.6640625" customWidth="1"/>
    <col min="4357" max="4357" width="5.33203125" customWidth="1"/>
    <col min="4358" max="4358" width="5.6640625" customWidth="1"/>
    <col min="4359" max="4359" width="5.88671875" customWidth="1"/>
    <col min="4360" max="4360" width="4.6640625" customWidth="1"/>
    <col min="4361" max="4361" width="6.33203125" customWidth="1"/>
    <col min="4362" max="4362" width="6.5546875" customWidth="1"/>
    <col min="4363" max="4363" width="6" customWidth="1"/>
    <col min="4364" max="4364" width="5.6640625" customWidth="1"/>
    <col min="4365" max="4365" width="5.5546875" customWidth="1"/>
    <col min="4366" max="4366" width="4.33203125" customWidth="1"/>
    <col min="4367" max="4367" width="10.109375" bestFit="1" customWidth="1"/>
    <col min="4369" max="4369" width="31.88671875" bestFit="1" customWidth="1"/>
    <col min="4370" max="4370" width="24.5546875" bestFit="1" customWidth="1"/>
    <col min="4609" max="4609" width="11.109375" customWidth="1"/>
    <col min="4610" max="4610" width="16" customWidth="1"/>
    <col min="4611" max="4611" width="27.5546875" customWidth="1"/>
    <col min="4612" max="4612" width="25.6640625" customWidth="1"/>
    <col min="4613" max="4613" width="5.33203125" customWidth="1"/>
    <col min="4614" max="4614" width="5.6640625" customWidth="1"/>
    <col min="4615" max="4615" width="5.88671875" customWidth="1"/>
    <col min="4616" max="4616" width="4.6640625" customWidth="1"/>
    <col min="4617" max="4617" width="6.33203125" customWidth="1"/>
    <col min="4618" max="4618" width="6.5546875" customWidth="1"/>
    <col min="4619" max="4619" width="6" customWidth="1"/>
    <col min="4620" max="4620" width="5.6640625" customWidth="1"/>
    <col min="4621" max="4621" width="5.5546875" customWidth="1"/>
    <col min="4622" max="4622" width="4.33203125" customWidth="1"/>
    <col min="4623" max="4623" width="10.109375" bestFit="1" customWidth="1"/>
    <col min="4625" max="4625" width="31.88671875" bestFit="1" customWidth="1"/>
    <col min="4626" max="4626" width="24.5546875" bestFit="1" customWidth="1"/>
    <col min="4865" max="4865" width="11.109375" customWidth="1"/>
    <col min="4866" max="4866" width="16" customWidth="1"/>
    <col min="4867" max="4867" width="27.5546875" customWidth="1"/>
    <col min="4868" max="4868" width="25.6640625" customWidth="1"/>
    <col min="4869" max="4869" width="5.33203125" customWidth="1"/>
    <col min="4870" max="4870" width="5.6640625" customWidth="1"/>
    <col min="4871" max="4871" width="5.88671875" customWidth="1"/>
    <col min="4872" max="4872" width="4.6640625" customWidth="1"/>
    <col min="4873" max="4873" width="6.33203125" customWidth="1"/>
    <col min="4874" max="4874" width="6.5546875" customWidth="1"/>
    <col min="4875" max="4875" width="6" customWidth="1"/>
    <col min="4876" max="4876" width="5.6640625" customWidth="1"/>
    <col min="4877" max="4877" width="5.5546875" customWidth="1"/>
    <col min="4878" max="4878" width="4.33203125" customWidth="1"/>
    <col min="4879" max="4879" width="10.109375" bestFit="1" customWidth="1"/>
    <col min="4881" max="4881" width="31.88671875" bestFit="1" customWidth="1"/>
    <col min="4882" max="4882" width="24.5546875" bestFit="1" customWidth="1"/>
    <col min="5121" max="5121" width="11.109375" customWidth="1"/>
    <col min="5122" max="5122" width="16" customWidth="1"/>
    <col min="5123" max="5123" width="27.5546875" customWidth="1"/>
    <col min="5124" max="5124" width="25.6640625" customWidth="1"/>
    <col min="5125" max="5125" width="5.33203125" customWidth="1"/>
    <col min="5126" max="5126" width="5.6640625" customWidth="1"/>
    <col min="5127" max="5127" width="5.88671875" customWidth="1"/>
    <col min="5128" max="5128" width="4.6640625" customWidth="1"/>
    <col min="5129" max="5129" width="6.33203125" customWidth="1"/>
    <col min="5130" max="5130" width="6.5546875" customWidth="1"/>
    <col min="5131" max="5131" width="6" customWidth="1"/>
    <col min="5132" max="5132" width="5.6640625" customWidth="1"/>
    <col min="5133" max="5133" width="5.5546875" customWidth="1"/>
    <col min="5134" max="5134" width="4.33203125" customWidth="1"/>
    <col min="5135" max="5135" width="10.109375" bestFit="1" customWidth="1"/>
    <col min="5137" max="5137" width="31.88671875" bestFit="1" customWidth="1"/>
    <col min="5138" max="5138" width="24.5546875" bestFit="1" customWidth="1"/>
    <col min="5377" max="5377" width="11.109375" customWidth="1"/>
    <col min="5378" max="5378" width="16" customWidth="1"/>
    <col min="5379" max="5379" width="27.5546875" customWidth="1"/>
    <col min="5380" max="5380" width="25.6640625" customWidth="1"/>
    <col min="5381" max="5381" width="5.33203125" customWidth="1"/>
    <col min="5382" max="5382" width="5.6640625" customWidth="1"/>
    <col min="5383" max="5383" width="5.88671875" customWidth="1"/>
    <col min="5384" max="5384" width="4.6640625" customWidth="1"/>
    <col min="5385" max="5385" width="6.33203125" customWidth="1"/>
    <col min="5386" max="5386" width="6.5546875" customWidth="1"/>
    <col min="5387" max="5387" width="6" customWidth="1"/>
    <col min="5388" max="5388" width="5.6640625" customWidth="1"/>
    <col min="5389" max="5389" width="5.5546875" customWidth="1"/>
    <col min="5390" max="5390" width="4.33203125" customWidth="1"/>
    <col min="5391" max="5391" width="10.109375" bestFit="1" customWidth="1"/>
    <col min="5393" max="5393" width="31.88671875" bestFit="1" customWidth="1"/>
    <col min="5394" max="5394" width="24.5546875" bestFit="1" customWidth="1"/>
    <col min="5633" max="5633" width="11.109375" customWidth="1"/>
    <col min="5634" max="5634" width="16" customWidth="1"/>
    <col min="5635" max="5635" width="27.5546875" customWidth="1"/>
    <col min="5636" max="5636" width="25.6640625" customWidth="1"/>
    <col min="5637" max="5637" width="5.33203125" customWidth="1"/>
    <col min="5638" max="5638" width="5.6640625" customWidth="1"/>
    <col min="5639" max="5639" width="5.88671875" customWidth="1"/>
    <col min="5640" max="5640" width="4.6640625" customWidth="1"/>
    <col min="5641" max="5641" width="6.33203125" customWidth="1"/>
    <col min="5642" max="5642" width="6.5546875" customWidth="1"/>
    <col min="5643" max="5643" width="6" customWidth="1"/>
    <col min="5644" max="5644" width="5.6640625" customWidth="1"/>
    <col min="5645" max="5645" width="5.5546875" customWidth="1"/>
    <col min="5646" max="5646" width="4.33203125" customWidth="1"/>
    <col min="5647" max="5647" width="10.109375" bestFit="1" customWidth="1"/>
    <col min="5649" max="5649" width="31.88671875" bestFit="1" customWidth="1"/>
    <col min="5650" max="5650" width="24.5546875" bestFit="1" customWidth="1"/>
    <col min="5889" max="5889" width="11.109375" customWidth="1"/>
    <col min="5890" max="5890" width="16" customWidth="1"/>
    <col min="5891" max="5891" width="27.5546875" customWidth="1"/>
    <col min="5892" max="5892" width="25.6640625" customWidth="1"/>
    <col min="5893" max="5893" width="5.33203125" customWidth="1"/>
    <col min="5894" max="5894" width="5.6640625" customWidth="1"/>
    <col min="5895" max="5895" width="5.88671875" customWidth="1"/>
    <col min="5896" max="5896" width="4.6640625" customWidth="1"/>
    <col min="5897" max="5897" width="6.33203125" customWidth="1"/>
    <col min="5898" max="5898" width="6.5546875" customWidth="1"/>
    <col min="5899" max="5899" width="6" customWidth="1"/>
    <col min="5900" max="5900" width="5.6640625" customWidth="1"/>
    <col min="5901" max="5901" width="5.5546875" customWidth="1"/>
    <col min="5902" max="5902" width="4.33203125" customWidth="1"/>
    <col min="5903" max="5903" width="10.109375" bestFit="1" customWidth="1"/>
    <col min="5905" max="5905" width="31.88671875" bestFit="1" customWidth="1"/>
    <col min="5906" max="5906" width="24.5546875" bestFit="1" customWidth="1"/>
    <col min="6145" max="6145" width="11.109375" customWidth="1"/>
    <col min="6146" max="6146" width="16" customWidth="1"/>
    <col min="6147" max="6147" width="27.5546875" customWidth="1"/>
    <col min="6148" max="6148" width="25.6640625" customWidth="1"/>
    <col min="6149" max="6149" width="5.33203125" customWidth="1"/>
    <col min="6150" max="6150" width="5.6640625" customWidth="1"/>
    <col min="6151" max="6151" width="5.88671875" customWidth="1"/>
    <col min="6152" max="6152" width="4.6640625" customWidth="1"/>
    <col min="6153" max="6153" width="6.33203125" customWidth="1"/>
    <col min="6154" max="6154" width="6.5546875" customWidth="1"/>
    <col min="6155" max="6155" width="6" customWidth="1"/>
    <col min="6156" max="6156" width="5.6640625" customWidth="1"/>
    <col min="6157" max="6157" width="5.5546875" customWidth="1"/>
    <col min="6158" max="6158" width="4.33203125" customWidth="1"/>
    <col min="6159" max="6159" width="10.109375" bestFit="1" customWidth="1"/>
    <col min="6161" max="6161" width="31.88671875" bestFit="1" customWidth="1"/>
    <col min="6162" max="6162" width="24.5546875" bestFit="1" customWidth="1"/>
    <col min="6401" max="6401" width="11.109375" customWidth="1"/>
    <col min="6402" max="6402" width="16" customWidth="1"/>
    <col min="6403" max="6403" width="27.5546875" customWidth="1"/>
    <col min="6404" max="6404" width="25.6640625" customWidth="1"/>
    <col min="6405" max="6405" width="5.33203125" customWidth="1"/>
    <col min="6406" max="6406" width="5.6640625" customWidth="1"/>
    <col min="6407" max="6407" width="5.88671875" customWidth="1"/>
    <col min="6408" max="6408" width="4.6640625" customWidth="1"/>
    <col min="6409" max="6409" width="6.33203125" customWidth="1"/>
    <col min="6410" max="6410" width="6.5546875" customWidth="1"/>
    <col min="6411" max="6411" width="6" customWidth="1"/>
    <col min="6412" max="6412" width="5.6640625" customWidth="1"/>
    <col min="6413" max="6413" width="5.5546875" customWidth="1"/>
    <col min="6414" max="6414" width="4.33203125" customWidth="1"/>
    <col min="6415" max="6415" width="10.109375" bestFit="1" customWidth="1"/>
    <col min="6417" max="6417" width="31.88671875" bestFit="1" customWidth="1"/>
    <col min="6418" max="6418" width="24.5546875" bestFit="1" customWidth="1"/>
    <col min="6657" max="6657" width="11.109375" customWidth="1"/>
    <col min="6658" max="6658" width="16" customWidth="1"/>
    <col min="6659" max="6659" width="27.5546875" customWidth="1"/>
    <col min="6660" max="6660" width="25.6640625" customWidth="1"/>
    <col min="6661" max="6661" width="5.33203125" customWidth="1"/>
    <col min="6662" max="6662" width="5.6640625" customWidth="1"/>
    <col min="6663" max="6663" width="5.88671875" customWidth="1"/>
    <col min="6664" max="6664" width="4.6640625" customWidth="1"/>
    <col min="6665" max="6665" width="6.33203125" customWidth="1"/>
    <col min="6666" max="6666" width="6.5546875" customWidth="1"/>
    <col min="6667" max="6667" width="6" customWidth="1"/>
    <col min="6668" max="6668" width="5.6640625" customWidth="1"/>
    <col min="6669" max="6669" width="5.5546875" customWidth="1"/>
    <col min="6670" max="6670" width="4.33203125" customWidth="1"/>
    <col min="6671" max="6671" width="10.109375" bestFit="1" customWidth="1"/>
    <col min="6673" max="6673" width="31.88671875" bestFit="1" customWidth="1"/>
    <col min="6674" max="6674" width="24.5546875" bestFit="1" customWidth="1"/>
    <col min="6913" max="6913" width="11.109375" customWidth="1"/>
    <col min="6914" max="6914" width="16" customWidth="1"/>
    <col min="6915" max="6915" width="27.5546875" customWidth="1"/>
    <col min="6916" max="6916" width="25.6640625" customWidth="1"/>
    <col min="6917" max="6917" width="5.33203125" customWidth="1"/>
    <col min="6918" max="6918" width="5.6640625" customWidth="1"/>
    <col min="6919" max="6919" width="5.88671875" customWidth="1"/>
    <col min="6920" max="6920" width="4.6640625" customWidth="1"/>
    <col min="6921" max="6921" width="6.33203125" customWidth="1"/>
    <col min="6922" max="6922" width="6.5546875" customWidth="1"/>
    <col min="6923" max="6923" width="6" customWidth="1"/>
    <col min="6924" max="6924" width="5.6640625" customWidth="1"/>
    <col min="6925" max="6925" width="5.5546875" customWidth="1"/>
    <col min="6926" max="6926" width="4.33203125" customWidth="1"/>
    <col min="6927" max="6927" width="10.109375" bestFit="1" customWidth="1"/>
    <col min="6929" max="6929" width="31.88671875" bestFit="1" customWidth="1"/>
    <col min="6930" max="6930" width="24.5546875" bestFit="1" customWidth="1"/>
    <col min="7169" max="7169" width="11.109375" customWidth="1"/>
    <col min="7170" max="7170" width="16" customWidth="1"/>
    <col min="7171" max="7171" width="27.5546875" customWidth="1"/>
    <col min="7172" max="7172" width="25.6640625" customWidth="1"/>
    <col min="7173" max="7173" width="5.33203125" customWidth="1"/>
    <col min="7174" max="7174" width="5.6640625" customWidth="1"/>
    <col min="7175" max="7175" width="5.88671875" customWidth="1"/>
    <col min="7176" max="7176" width="4.6640625" customWidth="1"/>
    <col min="7177" max="7177" width="6.33203125" customWidth="1"/>
    <col min="7178" max="7178" width="6.5546875" customWidth="1"/>
    <col min="7179" max="7179" width="6" customWidth="1"/>
    <col min="7180" max="7180" width="5.6640625" customWidth="1"/>
    <col min="7181" max="7181" width="5.5546875" customWidth="1"/>
    <col min="7182" max="7182" width="4.33203125" customWidth="1"/>
    <col min="7183" max="7183" width="10.109375" bestFit="1" customWidth="1"/>
    <col min="7185" max="7185" width="31.88671875" bestFit="1" customWidth="1"/>
    <col min="7186" max="7186" width="24.5546875" bestFit="1" customWidth="1"/>
    <col min="7425" max="7425" width="11.109375" customWidth="1"/>
    <col min="7426" max="7426" width="16" customWidth="1"/>
    <col min="7427" max="7427" width="27.5546875" customWidth="1"/>
    <col min="7428" max="7428" width="25.6640625" customWidth="1"/>
    <col min="7429" max="7429" width="5.33203125" customWidth="1"/>
    <col min="7430" max="7430" width="5.6640625" customWidth="1"/>
    <col min="7431" max="7431" width="5.88671875" customWidth="1"/>
    <col min="7432" max="7432" width="4.6640625" customWidth="1"/>
    <col min="7433" max="7433" width="6.33203125" customWidth="1"/>
    <col min="7434" max="7434" width="6.5546875" customWidth="1"/>
    <col min="7435" max="7435" width="6" customWidth="1"/>
    <col min="7436" max="7436" width="5.6640625" customWidth="1"/>
    <col min="7437" max="7437" width="5.5546875" customWidth="1"/>
    <col min="7438" max="7438" width="4.33203125" customWidth="1"/>
    <col min="7439" max="7439" width="10.109375" bestFit="1" customWidth="1"/>
    <col min="7441" max="7441" width="31.88671875" bestFit="1" customWidth="1"/>
    <col min="7442" max="7442" width="24.5546875" bestFit="1" customWidth="1"/>
    <col min="7681" max="7681" width="11.109375" customWidth="1"/>
    <col min="7682" max="7682" width="16" customWidth="1"/>
    <col min="7683" max="7683" width="27.5546875" customWidth="1"/>
    <col min="7684" max="7684" width="25.6640625" customWidth="1"/>
    <col min="7685" max="7685" width="5.33203125" customWidth="1"/>
    <col min="7686" max="7686" width="5.6640625" customWidth="1"/>
    <col min="7687" max="7687" width="5.88671875" customWidth="1"/>
    <col min="7688" max="7688" width="4.6640625" customWidth="1"/>
    <col min="7689" max="7689" width="6.33203125" customWidth="1"/>
    <col min="7690" max="7690" width="6.5546875" customWidth="1"/>
    <col min="7691" max="7691" width="6" customWidth="1"/>
    <col min="7692" max="7692" width="5.6640625" customWidth="1"/>
    <col min="7693" max="7693" width="5.5546875" customWidth="1"/>
    <col min="7694" max="7694" width="4.33203125" customWidth="1"/>
    <col min="7695" max="7695" width="10.109375" bestFit="1" customWidth="1"/>
    <col min="7697" max="7697" width="31.88671875" bestFit="1" customWidth="1"/>
    <col min="7698" max="7698" width="24.5546875" bestFit="1" customWidth="1"/>
    <col min="7937" max="7937" width="11.109375" customWidth="1"/>
    <col min="7938" max="7938" width="16" customWidth="1"/>
    <col min="7939" max="7939" width="27.5546875" customWidth="1"/>
    <col min="7940" max="7940" width="25.6640625" customWidth="1"/>
    <col min="7941" max="7941" width="5.33203125" customWidth="1"/>
    <col min="7942" max="7942" width="5.6640625" customWidth="1"/>
    <col min="7943" max="7943" width="5.88671875" customWidth="1"/>
    <col min="7944" max="7944" width="4.6640625" customWidth="1"/>
    <col min="7945" max="7945" width="6.33203125" customWidth="1"/>
    <col min="7946" max="7946" width="6.5546875" customWidth="1"/>
    <col min="7947" max="7947" width="6" customWidth="1"/>
    <col min="7948" max="7948" width="5.6640625" customWidth="1"/>
    <col min="7949" max="7949" width="5.5546875" customWidth="1"/>
    <col min="7950" max="7950" width="4.33203125" customWidth="1"/>
    <col min="7951" max="7951" width="10.109375" bestFit="1" customWidth="1"/>
    <col min="7953" max="7953" width="31.88671875" bestFit="1" customWidth="1"/>
    <col min="7954" max="7954" width="24.5546875" bestFit="1" customWidth="1"/>
    <col min="8193" max="8193" width="11.109375" customWidth="1"/>
    <col min="8194" max="8194" width="16" customWidth="1"/>
    <col min="8195" max="8195" width="27.5546875" customWidth="1"/>
    <col min="8196" max="8196" width="25.6640625" customWidth="1"/>
    <col min="8197" max="8197" width="5.33203125" customWidth="1"/>
    <col min="8198" max="8198" width="5.6640625" customWidth="1"/>
    <col min="8199" max="8199" width="5.88671875" customWidth="1"/>
    <col min="8200" max="8200" width="4.6640625" customWidth="1"/>
    <col min="8201" max="8201" width="6.33203125" customWidth="1"/>
    <col min="8202" max="8202" width="6.5546875" customWidth="1"/>
    <col min="8203" max="8203" width="6" customWidth="1"/>
    <col min="8204" max="8204" width="5.6640625" customWidth="1"/>
    <col min="8205" max="8205" width="5.5546875" customWidth="1"/>
    <col min="8206" max="8206" width="4.33203125" customWidth="1"/>
    <col min="8207" max="8207" width="10.109375" bestFit="1" customWidth="1"/>
    <col min="8209" max="8209" width="31.88671875" bestFit="1" customWidth="1"/>
    <col min="8210" max="8210" width="24.5546875" bestFit="1" customWidth="1"/>
    <col min="8449" max="8449" width="11.109375" customWidth="1"/>
    <col min="8450" max="8450" width="16" customWidth="1"/>
    <col min="8451" max="8451" width="27.5546875" customWidth="1"/>
    <col min="8452" max="8452" width="25.6640625" customWidth="1"/>
    <col min="8453" max="8453" width="5.33203125" customWidth="1"/>
    <col min="8454" max="8454" width="5.6640625" customWidth="1"/>
    <col min="8455" max="8455" width="5.88671875" customWidth="1"/>
    <col min="8456" max="8456" width="4.6640625" customWidth="1"/>
    <col min="8457" max="8457" width="6.33203125" customWidth="1"/>
    <col min="8458" max="8458" width="6.5546875" customWidth="1"/>
    <col min="8459" max="8459" width="6" customWidth="1"/>
    <col min="8460" max="8460" width="5.6640625" customWidth="1"/>
    <col min="8461" max="8461" width="5.5546875" customWidth="1"/>
    <col min="8462" max="8462" width="4.33203125" customWidth="1"/>
    <col min="8463" max="8463" width="10.109375" bestFit="1" customWidth="1"/>
    <col min="8465" max="8465" width="31.88671875" bestFit="1" customWidth="1"/>
    <col min="8466" max="8466" width="24.5546875" bestFit="1" customWidth="1"/>
    <col min="8705" max="8705" width="11.109375" customWidth="1"/>
    <col min="8706" max="8706" width="16" customWidth="1"/>
    <col min="8707" max="8707" width="27.5546875" customWidth="1"/>
    <col min="8708" max="8708" width="25.6640625" customWidth="1"/>
    <col min="8709" max="8709" width="5.33203125" customWidth="1"/>
    <col min="8710" max="8710" width="5.6640625" customWidth="1"/>
    <col min="8711" max="8711" width="5.88671875" customWidth="1"/>
    <col min="8712" max="8712" width="4.6640625" customWidth="1"/>
    <col min="8713" max="8713" width="6.33203125" customWidth="1"/>
    <col min="8714" max="8714" width="6.5546875" customWidth="1"/>
    <col min="8715" max="8715" width="6" customWidth="1"/>
    <col min="8716" max="8716" width="5.6640625" customWidth="1"/>
    <col min="8717" max="8717" width="5.5546875" customWidth="1"/>
    <col min="8718" max="8718" width="4.33203125" customWidth="1"/>
    <col min="8719" max="8719" width="10.109375" bestFit="1" customWidth="1"/>
    <col min="8721" max="8721" width="31.88671875" bestFit="1" customWidth="1"/>
    <col min="8722" max="8722" width="24.5546875" bestFit="1" customWidth="1"/>
    <col min="8961" max="8961" width="11.109375" customWidth="1"/>
    <col min="8962" max="8962" width="16" customWidth="1"/>
    <col min="8963" max="8963" width="27.5546875" customWidth="1"/>
    <col min="8964" max="8964" width="25.6640625" customWidth="1"/>
    <col min="8965" max="8965" width="5.33203125" customWidth="1"/>
    <col min="8966" max="8966" width="5.6640625" customWidth="1"/>
    <col min="8967" max="8967" width="5.88671875" customWidth="1"/>
    <col min="8968" max="8968" width="4.6640625" customWidth="1"/>
    <col min="8969" max="8969" width="6.33203125" customWidth="1"/>
    <col min="8970" max="8970" width="6.5546875" customWidth="1"/>
    <col min="8971" max="8971" width="6" customWidth="1"/>
    <col min="8972" max="8972" width="5.6640625" customWidth="1"/>
    <col min="8973" max="8973" width="5.5546875" customWidth="1"/>
    <col min="8974" max="8974" width="4.33203125" customWidth="1"/>
    <col min="8975" max="8975" width="10.109375" bestFit="1" customWidth="1"/>
    <col min="8977" max="8977" width="31.88671875" bestFit="1" customWidth="1"/>
    <col min="8978" max="8978" width="24.5546875" bestFit="1" customWidth="1"/>
    <col min="9217" max="9217" width="11.109375" customWidth="1"/>
    <col min="9218" max="9218" width="16" customWidth="1"/>
    <col min="9219" max="9219" width="27.5546875" customWidth="1"/>
    <col min="9220" max="9220" width="25.6640625" customWidth="1"/>
    <col min="9221" max="9221" width="5.33203125" customWidth="1"/>
    <col min="9222" max="9222" width="5.6640625" customWidth="1"/>
    <col min="9223" max="9223" width="5.88671875" customWidth="1"/>
    <col min="9224" max="9224" width="4.6640625" customWidth="1"/>
    <col min="9225" max="9225" width="6.33203125" customWidth="1"/>
    <col min="9226" max="9226" width="6.5546875" customWidth="1"/>
    <col min="9227" max="9227" width="6" customWidth="1"/>
    <col min="9228" max="9228" width="5.6640625" customWidth="1"/>
    <col min="9229" max="9229" width="5.5546875" customWidth="1"/>
    <col min="9230" max="9230" width="4.33203125" customWidth="1"/>
    <col min="9231" max="9231" width="10.109375" bestFit="1" customWidth="1"/>
    <col min="9233" max="9233" width="31.88671875" bestFit="1" customWidth="1"/>
    <col min="9234" max="9234" width="24.5546875" bestFit="1" customWidth="1"/>
    <col min="9473" max="9473" width="11.109375" customWidth="1"/>
    <col min="9474" max="9474" width="16" customWidth="1"/>
    <col min="9475" max="9475" width="27.5546875" customWidth="1"/>
    <col min="9476" max="9476" width="25.6640625" customWidth="1"/>
    <col min="9477" max="9477" width="5.33203125" customWidth="1"/>
    <col min="9478" max="9478" width="5.6640625" customWidth="1"/>
    <col min="9479" max="9479" width="5.88671875" customWidth="1"/>
    <col min="9480" max="9480" width="4.6640625" customWidth="1"/>
    <col min="9481" max="9481" width="6.33203125" customWidth="1"/>
    <col min="9482" max="9482" width="6.5546875" customWidth="1"/>
    <col min="9483" max="9483" width="6" customWidth="1"/>
    <col min="9484" max="9484" width="5.6640625" customWidth="1"/>
    <col min="9485" max="9485" width="5.5546875" customWidth="1"/>
    <col min="9486" max="9486" width="4.33203125" customWidth="1"/>
    <col min="9487" max="9487" width="10.109375" bestFit="1" customWidth="1"/>
    <col min="9489" max="9489" width="31.88671875" bestFit="1" customWidth="1"/>
    <col min="9490" max="9490" width="24.5546875" bestFit="1" customWidth="1"/>
    <col min="9729" max="9729" width="11.109375" customWidth="1"/>
    <col min="9730" max="9730" width="16" customWidth="1"/>
    <col min="9731" max="9731" width="27.5546875" customWidth="1"/>
    <col min="9732" max="9732" width="25.6640625" customWidth="1"/>
    <col min="9733" max="9733" width="5.33203125" customWidth="1"/>
    <col min="9734" max="9734" width="5.6640625" customWidth="1"/>
    <col min="9735" max="9735" width="5.88671875" customWidth="1"/>
    <col min="9736" max="9736" width="4.6640625" customWidth="1"/>
    <col min="9737" max="9737" width="6.33203125" customWidth="1"/>
    <col min="9738" max="9738" width="6.5546875" customWidth="1"/>
    <col min="9739" max="9739" width="6" customWidth="1"/>
    <col min="9740" max="9740" width="5.6640625" customWidth="1"/>
    <col min="9741" max="9741" width="5.5546875" customWidth="1"/>
    <col min="9742" max="9742" width="4.33203125" customWidth="1"/>
    <col min="9743" max="9743" width="10.109375" bestFit="1" customWidth="1"/>
    <col min="9745" max="9745" width="31.88671875" bestFit="1" customWidth="1"/>
    <col min="9746" max="9746" width="24.5546875" bestFit="1" customWidth="1"/>
    <col min="9985" max="9985" width="11.109375" customWidth="1"/>
    <col min="9986" max="9986" width="16" customWidth="1"/>
    <col min="9987" max="9987" width="27.5546875" customWidth="1"/>
    <col min="9988" max="9988" width="25.6640625" customWidth="1"/>
    <col min="9989" max="9989" width="5.33203125" customWidth="1"/>
    <col min="9990" max="9990" width="5.6640625" customWidth="1"/>
    <col min="9991" max="9991" width="5.88671875" customWidth="1"/>
    <col min="9992" max="9992" width="4.6640625" customWidth="1"/>
    <col min="9993" max="9993" width="6.33203125" customWidth="1"/>
    <col min="9994" max="9994" width="6.5546875" customWidth="1"/>
    <col min="9995" max="9995" width="6" customWidth="1"/>
    <col min="9996" max="9996" width="5.6640625" customWidth="1"/>
    <col min="9997" max="9997" width="5.5546875" customWidth="1"/>
    <col min="9998" max="9998" width="4.33203125" customWidth="1"/>
    <col min="9999" max="9999" width="10.109375" bestFit="1" customWidth="1"/>
    <col min="10001" max="10001" width="31.88671875" bestFit="1" customWidth="1"/>
    <col min="10002" max="10002" width="24.5546875" bestFit="1" customWidth="1"/>
    <col min="10241" max="10241" width="11.109375" customWidth="1"/>
    <col min="10242" max="10242" width="16" customWidth="1"/>
    <col min="10243" max="10243" width="27.5546875" customWidth="1"/>
    <col min="10244" max="10244" width="25.6640625" customWidth="1"/>
    <col min="10245" max="10245" width="5.33203125" customWidth="1"/>
    <col min="10246" max="10246" width="5.6640625" customWidth="1"/>
    <col min="10247" max="10247" width="5.88671875" customWidth="1"/>
    <col min="10248" max="10248" width="4.6640625" customWidth="1"/>
    <col min="10249" max="10249" width="6.33203125" customWidth="1"/>
    <col min="10250" max="10250" width="6.5546875" customWidth="1"/>
    <col min="10251" max="10251" width="6" customWidth="1"/>
    <col min="10252" max="10252" width="5.6640625" customWidth="1"/>
    <col min="10253" max="10253" width="5.5546875" customWidth="1"/>
    <col min="10254" max="10254" width="4.33203125" customWidth="1"/>
    <col min="10255" max="10255" width="10.109375" bestFit="1" customWidth="1"/>
    <col min="10257" max="10257" width="31.88671875" bestFit="1" customWidth="1"/>
    <col min="10258" max="10258" width="24.5546875" bestFit="1" customWidth="1"/>
    <col min="10497" max="10497" width="11.109375" customWidth="1"/>
    <col min="10498" max="10498" width="16" customWidth="1"/>
    <col min="10499" max="10499" width="27.5546875" customWidth="1"/>
    <col min="10500" max="10500" width="25.6640625" customWidth="1"/>
    <col min="10501" max="10501" width="5.33203125" customWidth="1"/>
    <col min="10502" max="10502" width="5.6640625" customWidth="1"/>
    <col min="10503" max="10503" width="5.88671875" customWidth="1"/>
    <col min="10504" max="10504" width="4.6640625" customWidth="1"/>
    <col min="10505" max="10505" width="6.33203125" customWidth="1"/>
    <col min="10506" max="10506" width="6.5546875" customWidth="1"/>
    <col min="10507" max="10507" width="6" customWidth="1"/>
    <col min="10508" max="10508" width="5.6640625" customWidth="1"/>
    <col min="10509" max="10509" width="5.5546875" customWidth="1"/>
    <col min="10510" max="10510" width="4.33203125" customWidth="1"/>
    <col min="10511" max="10511" width="10.109375" bestFit="1" customWidth="1"/>
    <col min="10513" max="10513" width="31.88671875" bestFit="1" customWidth="1"/>
    <col min="10514" max="10514" width="24.5546875" bestFit="1" customWidth="1"/>
    <col min="10753" max="10753" width="11.109375" customWidth="1"/>
    <col min="10754" max="10754" width="16" customWidth="1"/>
    <col min="10755" max="10755" width="27.5546875" customWidth="1"/>
    <col min="10756" max="10756" width="25.6640625" customWidth="1"/>
    <col min="10757" max="10757" width="5.33203125" customWidth="1"/>
    <col min="10758" max="10758" width="5.6640625" customWidth="1"/>
    <col min="10759" max="10759" width="5.88671875" customWidth="1"/>
    <col min="10760" max="10760" width="4.6640625" customWidth="1"/>
    <col min="10761" max="10761" width="6.33203125" customWidth="1"/>
    <col min="10762" max="10762" width="6.5546875" customWidth="1"/>
    <col min="10763" max="10763" width="6" customWidth="1"/>
    <col min="10764" max="10764" width="5.6640625" customWidth="1"/>
    <col min="10765" max="10765" width="5.5546875" customWidth="1"/>
    <col min="10766" max="10766" width="4.33203125" customWidth="1"/>
    <col min="10767" max="10767" width="10.109375" bestFit="1" customWidth="1"/>
    <col min="10769" max="10769" width="31.88671875" bestFit="1" customWidth="1"/>
    <col min="10770" max="10770" width="24.5546875" bestFit="1" customWidth="1"/>
    <col min="11009" max="11009" width="11.109375" customWidth="1"/>
    <col min="11010" max="11010" width="16" customWidth="1"/>
    <col min="11011" max="11011" width="27.5546875" customWidth="1"/>
    <col min="11012" max="11012" width="25.6640625" customWidth="1"/>
    <col min="11013" max="11013" width="5.33203125" customWidth="1"/>
    <col min="11014" max="11014" width="5.6640625" customWidth="1"/>
    <col min="11015" max="11015" width="5.88671875" customWidth="1"/>
    <col min="11016" max="11016" width="4.6640625" customWidth="1"/>
    <col min="11017" max="11017" width="6.33203125" customWidth="1"/>
    <col min="11018" max="11018" width="6.5546875" customWidth="1"/>
    <col min="11019" max="11019" width="6" customWidth="1"/>
    <col min="11020" max="11020" width="5.6640625" customWidth="1"/>
    <col min="11021" max="11021" width="5.5546875" customWidth="1"/>
    <col min="11022" max="11022" width="4.33203125" customWidth="1"/>
    <col min="11023" max="11023" width="10.109375" bestFit="1" customWidth="1"/>
    <col min="11025" max="11025" width="31.88671875" bestFit="1" customWidth="1"/>
    <col min="11026" max="11026" width="24.5546875" bestFit="1" customWidth="1"/>
    <col min="11265" max="11265" width="11.109375" customWidth="1"/>
    <col min="11266" max="11266" width="16" customWidth="1"/>
    <col min="11267" max="11267" width="27.5546875" customWidth="1"/>
    <col min="11268" max="11268" width="25.6640625" customWidth="1"/>
    <col min="11269" max="11269" width="5.33203125" customWidth="1"/>
    <col min="11270" max="11270" width="5.6640625" customWidth="1"/>
    <col min="11271" max="11271" width="5.88671875" customWidth="1"/>
    <col min="11272" max="11272" width="4.6640625" customWidth="1"/>
    <col min="11273" max="11273" width="6.33203125" customWidth="1"/>
    <col min="11274" max="11274" width="6.5546875" customWidth="1"/>
    <col min="11275" max="11275" width="6" customWidth="1"/>
    <col min="11276" max="11276" width="5.6640625" customWidth="1"/>
    <col min="11277" max="11277" width="5.5546875" customWidth="1"/>
    <col min="11278" max="11278" width="4.33203125" customWidth="1"/>
    <col min="11279" max="11279" width="10.109375" bestFit="1" customWidth="1"/>
    <col min="11281" max="11281" width="31.88671875" bestFit="1" customWidth="1"/>
    <col min="11282" max="11282" width="24.5546875" bestFit="1" customWidth="1"/>
    <col min="11521" max="11521" width="11.109375" customWidth="1"/>
    <col min="11522" max="11522" width="16" customWidth="1"/>
    <col min="11523" max="11523" width="27.5546875" customWidth="1"/>
    <col min="11524" max="11524" width="25.6640625" customWidth="1"/>
    <col min="11525" max="11525" width="5.33203125" customWidth="1"/>
    <col min="11526" max="11526" width="5.6640625" customWidth="1"/>
    <col min="11527" max="11527" width="5.88671875" customWidth="1"/>
    <col min="11528" max="11528" width="4.6640625" customWidth="1"/>
    <col min="11529" max="11529" width="6.33203125" customWidth="1"/>
    <col min="11530" max="11530" width="6.5546875" customWidth="1"/>
    <col min="11531" max="11531" width="6" customWidth="1"/>
    <col min="11532" max="11532" width="5.6640625" customWidth="1"/>
    <col min="11533" max="11533" width="5.5546875" customWidth="1"/>
    <col min="11534" max="11534" width="4.33203125" customWidth="1"/>
    <col min="11535" max="11535" width="10.109375" bestFit="1" customWidth="1"/>
    <col min="11537" max="11537" width="31.88671875" bestFit="1" customWidth="1"/>
    <col min="11538" max="11538" width="24.5546875" bestFit="1" customWidth="1"/>
    <col min="11777" max="11777" width="11.109375" customWidth="1"/>
    <col min="11778" max="11778" width="16" customWidth="1"/>
    <col min="11779" max="11779" width="27.5546875" customWidth="1"/>
    <col min="11780" max="11780" width="25.6640625" customWidth="1"/>
    <col min="11781" max="11781" width="5.33203125" customWidth="1"/>
    <col min="11782" max="11782" width="5.6640625" customWidth="1"/>
    <col min="11783" max="11783" width="5.88671875" customWidth="1"/>
    <col min="11784" max="11784" width="4.6640625" customWidth="1"/>
    <col min="11785" max="11785" width="6.33203125" customWidth="1"/>
    <col min="11786" max="11786" width="6.5546875" customWidth="1"/>
    <col min="11787" max="11787" width="6" customWidth="1"/>
    <col min="11788" max="11788" width="5.6640625" customWidth="1"/>
    <col min="11789" max="11789" width="5.5546875" customWidth="1"/>
    <col min="11790" max="11790" width="4.33203125" customWidth="1"/>
    <col min="11791" max="11791" width="10.109375" bestFit="1" customWidth="1"/>
    <col min="11793" max="11793" width="31.88671875" bestFit="1" customWidth="1"/>
    <col min="11794" max="11794" width="24.5546875" bestFit="1" customWidth="1"/>
    <col min="12033" max="12033" width="11.109375" customWidth="1"/>
    <col min="12034" max="12034" width="16" customWidth="1"/>
    <col min="12035" max="12035" width="27.5546875" customWidth="1"/>
    <col min="12036" max="12036" width="25.6640625" customWidth="1"/>
    <col min="12037" max="12037" width="5.33203125" customWidth="1"/>
    <col min="12038" max="12038" width="5.6640625" customWidth="1"/>
    <col min="12039" max="12039" width="5.88671875" customWidth="1"/>
    <col min="12040" max="12040" width="4.6640625" customWidth="1"/>
    <col min="12041" max="12041" width="6.33203125" customWidth="1"/>
    <col min="12042" max="12042" width="6.5546875" customWidth="1"/>
    <col min="12043" max="12043" width="6" customWidth="1"/>
    <col min="12044" max="12044" width="5.6640625" customWidth="1"/>
    <col min="12045" max="12045" width="5.5546875" customWidth="1"/>
    <col min="12046" max="12046" width="4.33203125" customWidth="1"/>
    <col min="12047" max="12047" width="10.109375" bestFit="1" customWidth="1"/>
    <col min="12049" max="12049" width="31.88671875" bestFit="1" customWidth="1"/>
    <col min="12050" max="12050" width="24.5546875" bestFit="1" customWidth="1"/>
    <col min="12289" max="12289" width="11.109375" customWidth="1"/>
    <col min="12290" max="12290" width="16" customWidth="1"/>
    <col min="12291" max="12291" width="27.5546875" customWidth="1"/>
    <col min="12292" max="12292" width="25.6640625" customWidth="1"/>
    <col min="12293" max="12293" width="5.33203125" customWidth="1"/>
    <col min="12294" max="12294" width="5.6640625" customWidth="1"/>
    <col min="12295" max="12295" width="5.88671875" customWidth="1"/>
    <col min="12296" max="12296" width="4.6640625" customWidth="1"/>
    <col min="12297" max="12297" width="6.33203125" customWidth="1"/>
    <col min="12298" max="12298" width="6.5546875" customWidth="1"/>
    <col min="12299" max="12299" width="6" customWidth="1"/>
    <col min="12300" max="12300" width="5.6640625" customWidth="1"/>
    <col min="12301" max="12301" width="5.5546875" customWidth="1"/>
    <col min="12302" max="12302" width="4.33203125" customWidth="1"/>
    <col min="12303" max="12303" width="10.109375" bestFit="1" customWidth="1"/>
    <col min="12305" max="12305" width="31.88671875" bestFit="1" customWidth="1"/>
    <col min="12306" max="12306" width="24.5546875" bestFit="1" customWidth="1"/>
    <col min="12545" max="12545" width="11.109375" customWidth="1"/>
    <col min="12546" max="12546" width="16" customWidth="1"/>
    <col min="12547" max="12547" width="27.5546875" customWidth="1"/>
    <col min="12548" max="12548" width="25.6640625" customWidth="1"/>
    <col min="12549" max="12549" width="5.33203125" customWidth="1"/>
    <col min="12550" max="12550" width="5.6640625" customWidth="1"/>
    <col min="12551" max="12551" width="5.88671875" customWidth="1"/>
    <col min="12552" max="12552" width="4.6640625" customWidth="1"/>
    <col min="12553" max="12553" width="6.33203125" customWidth="1"/>
    <col min="12554" max="12554" width="6.5546875" customWidth="1"/>
    <col min="12555" max="12555" width="6" customWidth="1"/>
    <col min="12556" max="12556" width="5.6640625" customWidth="1"/>
    <col min="12557" max="12557" width="5.5546875" customWidth="1"/>
    <col min="12558" max="12558" width="4.33203125" customWidth="1"/>
    <col min="12559" max="12559" width="10.109375" bestFit="1" customWidth="1"/>
    <col min="12561" max="12561" width="31.88671875" bestFit="1" customWidth="1"/>
    <col min="12562" max="12562" width="24.5546875" bestFit="1" customWidth="1"/>
    <col min="12801" max="12801" width="11.109375" customWidth="1"/>
    <col min="12802" max="12802" width="16" customWidth="1"/>
    <col min="12803" max="12803" width="27.5546875" customWidth="1"/>
    <col min="12804" max="12804" width="25.6640625" customWidth="1"/>
    <col min="12805" max="12805" width="5.33203125" customWidth="1"/>
    <col min="12806" max="12806" width="5.6640625" customWidth="1"/>
    <col min="12807" max="12807" width="5.88671875" customWidth="1"/>
    <col min="12808" max="12808" width="4.6640625" customWidth="1"/>
    <col min="12809" max="12809" width="6.33203125" customWidth="1"/>
    <col min="12810" max="12810" width="6.5546875" customWidth="1"/>
    <col min="12811" max="12811" width="6" customWidth="1"/>
    <col min="12812" max="12812" width="5.6640625" customWidth="1"/>
    <col min="12813" max="12813" width="5.5546875" customWidth="1"/>
    <col min="12814" max="12814" width="4.33203125" customWidth="1"/>
    <col min="12815" max="12815" width="10.109375" bestFit="1" customWidth="1"/>
    <col min="12817" max="12817" width="31.88671875" bestFit="1" customWidth="1"/>
    <col min="12818" max="12818" width="24.5546875" bestFit="1" customWidth="1"/>
    <col min="13057" max="13057" width="11.109375" customWidth="1"/>
    <col min="13058" max="13058" width="16" customWidth="1"/>
    <col min="13059" max="13059" width="27.5546875" customWidth="1"/>
    <col min="13060" max="13060" width="25.6640625" customWidth="1"/>
    <col min="13061" max="13061" width="5.33203125" customWidth="1"/>
    <col min="13062" max="13062" width="5.6640625" customWidth="1"/>
    <col min="13063" max="13063" width="5.88671875" customWidth="1"/>
    <col min="13064" max="13064" width="4.6640625" customWidth="1"/>
    <col min="13065" max="13065" width="6.33203125" customWidth="1"/>
    <col min="13066" max="13066" width="6.5546875" customWidth="1"/>
    <col min="13067" max="13067" width="6" customWidth="1"/>
    <col min="13068" max="13068" width="5.6640625" customWidth="1"/>
    <col min="13069" max="13069" width="5.5546875" customWidth="1"/>
    <col min="13070" max="13070" width="4.33203125" customWidth="1"/>
    <col min="13071" max="13071" width="10.109375" bestFit="1" customWidth="1"/>
    <col min="13073" max="13073" width="31.88671875" bestFit="1" customWidth="1"/>
    <col min="13074" max="13074" width="24.5546875" bestFit="1" customWidth="1"/>
    <col min="13313" max="13313" width="11.109375" customWidth="1"/>
    <col min="13314" max="13314" width="16" customWidth="1"/>
    <col min="13315" max="13315" width="27.5546875" customWidth="1"/>
    <col min="13316" max="13316" width="25.6640625" customWidth="1"/>
    <col min="13317" max="13317" width="5.33203125" customWidth="1"/>
    <col min="13318" max="13318" width="5.6640625" customWidth="1"/>
    <col min="13319" max="13319" width="5.88671875" customWidth="1"/>
    <col min="13320" max="13320" width="4.6640625" customWidth="1"/>
    <col min="13321" max="13321" width="6.33203125" customWidth="1"/>
    <col min="13322" max="13322" width="6.5546875" customWidth="1"/>
    <col min="13323" max="13323" width="6" customWidth="1"/>
    <col min="13324" max="13324" width="5.6640625" customWidth="1"/>
    <col min="13325" max="13325" width="5.5546875" customWidth="1"/>
    <col min="13326" max="13326" width="4.33203125" customWidth="1"/>
    <col min="13327" max="13327" width="10.109375" bestFit="1" customWidth="1"/>
    <col min="13329" max="13329" width="31.88671875" bestFit="1" customWidth="1"/>
    <col min="13330" max="13330" width="24.5546875" bestFit="1" customWidth="1"/>
    <col min="13569" max="13569" width="11.109375" customWidth="1"/>
    <col min="13570" max="13570" width="16" customWidth="1"/>
    <col min="13571" max="13571" width="27.5546875" customWidth="1"/>
    <col min="13572" max="13572" width="25.6640625" customWidth="1"/>
    <col min="13573" max="13573" width="5.33203125" customWidth="1"/>
    <col min="13574" max="13574" width="5.6640625" customWidth="1"/>
    <col min="13575" max="13575" width="5.88671875" customWidth="1"/>
    <col min="13576" max="13576" width="4.6640625" customWidth="1"/>
    <col min="13577" max="13577" width="6.33203125" customWidth="1"/>
    <col min="13578" max="13578" width="6.5546875" customWidth="1"/>
    <col min="13579" max="13579" width="6" customWidth="1"/>
    <col min="13580" max="13580" width="5.6640625" customWidth="1"/>
    <col min="13581" max="13581" width="5.5546875" customWidth="1"/>
    <col min="13582" max="13582" width="4.33203125" customWidth="1"/>
    <col min="13583" max="13583" width="10.109375" bestFit="1" customWidth="1"/>
    <col min="13585" max="13585" width="31.88671875" bestFit="1" customWidth="1"/>
    <col min="13586" max="13586" width="24.5546875" bestFit="1" customWidth="1"/>
    <col min="13825" max="13825" width="11.109375" customWidth="1"/>
    <col min="13826" max="13826" width="16" customWidth="1"/>
    <col min="13827" max="13827" width="27.5546875" customWidth="1"/>
    <col min="13828" max="13828" width="25.6640625" customWidth="1"/>
    <col min="13829" max="13829" width="5.33203125" customWidth="1"/>
    <col min="13830" max="13830" width="5.6640625" customWidth="1"/>
    <col min="13831" max="13831" width="5.88671875" customWidth="1"/>
    <col min="13832" max="13832" width="4.6640625" customWidth="1"/>
    <col min="13833" max="13833" width="6.33203125" customWidth="1"/>
    <col min="13834" max="13834" width="6.5546875" customWidth="1"/>
    <col min="13835" max="13835" width="6" customWidth="1"/>
    <col min="13836" max="13836" width="5.6640625" customWidth="1"/>
    <col min="13837" max="13837" width="5.5546875" customWidth="1"/>
    <col min="13838" max="13838" width="4.33203125" customWidth="1"/>
    <col min="13839" max="13839" width="10.109375" bestFit="1" customWidth="1"/>
    <col min="13841" max="13841" width="31.88671875" bestFit="1" customWidth="1"/>
    <col min="13842" max="13842" width="24.5546875" bestFit="1" customWidth="1"/>
    <col min="14081" max="14081" width="11.109375" customWidth="1"/>
    <col min="14082" max="14082" width="16" customWidth="1"/>
    <col min="14083" max="14083" width="27.5546875" customWidth="1"/>
    <col min="14084" max="14084" width="25.6640625" customWidth="1"/>
    <col min="14085" max="14085" width="5.33203125" customWidth="1"/>
    <col min="14086" max="14086" width="5.6640625" customWidth="1"/>
    <col min="14087" max="14087" width="5.88671875" customWidth="1"/>
    <col min="14088" max="14088" width="4.6640625" customWidth="1"/>
    <col min="14089" max="14089" width="6.33203125" customWidth="1"/>
    <col min="14090" max="14090" width="6.5546875" customWidth="1"/>
    <col min="14091" max="14091" width="6" customWidth="1"/>
    <col min="14092" max="14092" width="5.6640625" customWidth="1"/>
    <col min="14093" max="14093" width="5.5546875" customWidth="1"/>
    <col min="14094" max="14094" width="4.33203125" customWidth="1"/>
    <col min="14095" max="14095" width="10.109375" bestFit="1" customWidth="1"/>
    <col min="14097" max="14097" width="31.88671875" bestFit="1" customWidth="1"/>
    <col min="14098" max="14098" width="24.5546875" bestFit="1" customWidth="1"/>
    <col min="14337" max="14337" width="11.109375" customWidth="1"/>
    <col min="14338" max="14338" width="16" customWidth="1"/>
    <col min="14339" max="14339" width="27.5546875" customWidth="1"/>
    <col min="14340" max="14340" width="25.6640625" customWidth="1"/>
    <col min="14341" max="14341" width="5.33203125" customWidth="1"/>
    <col min="14342" max="14342" width="5.6640625" customWidth="1"/>
    <col min="14343" max="14343" width="5.88671875" customWidth="1"/>
    <col min="14344" max="14344" width="4.6640625" customWidth="1"/>
    <col min="14345" max="14345" width="6.33203125" customWidth="1"/>
    <col min="14346" max="14346" width="6.5546875" customWidth="1"/>
    <col min="14347" max="14347" width="6" customWidth="1"/>
    <col min="14348" max="14348" width="5.6640625" customWidth="1"/>
    <col min="14349" max="14349" width="5.5546875" customWidth="1"/>
    <col min="14350" max="14350" width="4.33203125" customWidth="1"/>
    <col min="14351" max="14351" width="10.109375" bestFit="1" customWidth="1"/>
    <col min="14353" max="14353" width="31.88671875" bestFit="1" customWidth="1"/>
    <col min="14354" max="14354" width="24.5546875" bestFit="1" customWidth="1"/>
    <col min="14593" max="14593" width="11.109375" customWidth="1"/>
    <col min="14594" max="14594" width="16" customWidth="1"/>
    <col min="14595" max="14595" width="27.5546875" customWidth="1"/>
    <col min="14596" max="14596" width="25.6640625" customWidth="1"/>
    <col min="14597" max="14597" width="5.33203125" customWidth="1"/>
    <col min="14598" max="14598" width="5.6640625" customWidth="1"/>
    <col min="14599" max="14599" width="5.88671875" customWidth="1"/>
    <col min="14600" max="14600" width="4.6640625" customWidth="1"/>
    <col min="14601" max="14601" width="6.33203125" customWidth="1"/>
    <col min="14602" max="14602" width="6.5546875" customWidth="1"/>
    <col min="14603" max="14603" width="6" customWidth="1"/>
    <col min="14604" max="14604" width="5.6640625" customWidth="1"/>
    <col min="14605" max="14605" width="5.5546875" customWidth="1"/>
    <col min="14606" max="14606" width="4.33203125" customWidth="1"/>
    <col min="14607" max="14607" width="10.109375" bestFit="1" customWidth="1"/>
    <col min="14609" max="14609" width="31.88671875" bestFit="1" customWidth="1"/>
    <col min="14610" max="14610" width="24.5546875" bestFit="1" customWidth="1"/>
    <col min="14849" max="14849" width="11.109375" customWidth="1"/>
    <col min="14850" max="14850" width="16" customWidth="1"/>
    <col min="14851" max="14851" width="27.5546875" customWidth="1"/>
    <col min="14852" max="14852" width="25.6640625" customWidth="1"/>
    <col min="14853" max="14853" width="5.33203125" customWidth="1"/>
    <col min="14854" max="14854" width="5.6640625" customWidth="1"/>
    <col min="14855" max="14855" width="5.88671875" customWidth="1"/>
    <col min="14856" max="14856" width="4.6640625" customWidth="1"/>
    <col min="14857" max="14857" width="6.33203125" customWidth="1"/>
    <col min="14858" max="14858" width="6.5546875" customWidth="1"/>
    <col min="14859" max="14859" width="6" customWidth="1"/>
    <col min="14860" max="14860" width="5.6640625" customWidth="1"/>
    <col min="14861" max="14861" width="5.5546875" customWidth="1"/>
    <col min="14862" max="14862" width="4.33203125" customWidth="1"/>
    <col min="14863" max="14863" width="10.109375" bestFit="1" customWidth="1"/>
    <col min="14865" max="14865" width="31.88671875" bestFit="1" customWidth="1"/>
    <col min="14866" max="14866" width="24.5546875" bestFit="1" customWidth="1"/>
    <col min="15105" max="15105" width="11.109375" customWidth="1"/>
    <col min="15106" max="15106" width="16" customWidth="1"/>
    <col min="15107" max="15107" width="27.5546875" customWidth="1"/>
    <col min="15108" max="15108" width="25.6640625" customWidth="1"/>
    <col min="15109" max="15109" width="5.33203125" customWidth="1"/>
    <col min="15110" max="15110" width="5.6640625" customWidth="1"/>
    <col min="15111" max="15111" width="5.88671875" customWidth="1"/>
    <col min="15112" max="15112" width="4.6640625" customWidth="1"/>
    <col min="15113" max="15113" width="6.33203125" customWidth="1"/>
    <col min="15114" max="15114" width="6.5546875" customWidth="1"/>
    <col min="15115" max="15115" width="6" customWidth="1"/>
    <col min="15116" max="15116" width="5.6640625" customWidth="1"/>
    <col min="15117" max="15117" width="5.5546875" customWidth="1"/>
    <col min="15118" max="15118" width="4.33203125" customWidth="1"/>
    <col min="15119" max="15119" width="10.109375" bestFit="1" customWidth="1"/>
    <col min="15121" max="15121" width="31.88671875" bestFit="1" customWidth="1"/>
    <col min="15122" max="15122" width="24.5546875" bestFit="1" customWidth="1"/>
    <col min="15361" max="15361" width="11.109375" customWidth="1"/>
    <col min="15362" max="15362" width="16" customWidth="1"/>
    <col min="15363" max="15363" width="27.5546875" customWidth="1"/>
    <col min="15364" max="15364" width="25.6640625" customWidth="1"/>
    <col min="15365" max="15365" width="5.33203125" customWidth="1"/>
    <col min="15366" max="15366" width="5.6640625" customWidth="1"/>
    <col min="15367" max="15367" width="5.88671875" customWidth="1"/>
    <col min="15368" max="15368" width="4.6640625" customWidth="1"/>
    <col min="15369" max="15369" width="6.33203125" customWidth="1"/>
    <col min="15370" max="15370" width="6.5546875" customWidth="1"/>
    <col min="15371" max="15371" width="6" customWidth="1"/>
    <col min="15372" max="15372" width="5.6640625" customWidth="1"/>
    <col min="15373" max="15373" width="5.5546875" customWidth="1"/>
    <col min="15374" max="15374" width="4.33203125" customWidth="1"/>
    <col min="15375" max="15375" width="10.109375" bestFit="1" customWidth="1"/>
    <col min="15377" max="15377" width="31.88671875" bestFit="1" customWidth="1"/>
    <col min="15378" max="15378" width="24.5546875" bestFit="1" customWidth="1"/>
    <col min="15617" max="15617" width="11.109375" customWidth="1"/>
    <col min="15618" max="15618" width="16" customWidth="1"/>
    <col min="15619" max="15619" width="27.5546875" customWidth="1"/>
    <col min="15620" max="15620" width="25.6640625" customWidth="1"/>
    <col min="15621" max="15621" width="5.33203125" customWidth="1"/>
    <col min="15622" max="15622" width="5.6640625" customWidth="1"/>
    <col min="15623" max="15623" width="5.88671875" customWidth="1"/>
    <col min="15624" max="15624" width="4.6640625" customWidth="1"/>
    <col min="15625" max="15625" width="6.33203125" customWidth="1"/>
    <col min="15626" max="15626" width="6.5546875" customWidth="1"/>
    <col min="15627" max="15627" width="6" customWidth="1"/>
    <col min="15628" max="15628" width="5.6640625" customWidth="1"/>
    <col min="15629" max="15629" width="5.5546875" customWidth="1"/>
    <col min="15630" max="15630" width="4.33203125" customWidth="1"/>
    <col min="15631" max="15631" width="10.109375" bestFit="1" customWidth="1"/>
    <col min="15633" max="15633" width="31.88671875" bestFit="1" customWidth="1"/>
    <col min="15634" max="15634" width="24.5546875" bestFit="1" customWidth="1"/>
    <col min="15873" max="15873" width="11.109375" customWidth="1"/>
    <col min="15874" max="15874" width="16" customWidth="1"/>
    <col min="15875" max="15875" width="27.5546875" customWidth="1"/>
    <col min="15876" max="15876" width="25.6640625" customWidth="1"/>
    <col min="15877" max="15877" width="5.33203125" customWidth="1"/>
    <col min="15878" max="15878" width="5.6640625" customWidth="1"/>
    <col min="15879" max="15879" width="5.88671875" customWidth="1"/>
    <col min="15880" max="15880" width="4.6640625" customWidth="1"/>
    <col min="15881" max="15881" width="6.33203125" customWidth="1"/>
    <col min="15882" max="15882" width="6.5546875" customWidth="1"/>
    <col min="15883" max="15883" width="6" customWidth="1"/>
    <col min="15884" max="15884" width="5.6640625" customWidth="1"/>
    <col min="15885" max="15885" width="5.5546875" customWidth="1"/>
    <col min="15886" max="15886" width="4.33203125" customWidth="1"/>
    <col min="15887" max="15887" width="10.109375" bestFit="1" customWidth="1"/>
    <col min="15889" max="15889" width="31.88671875" bestFit="1" customWidth="1"/>
    <col min="15890" max="15890" width="24.5546875" bestFit="1" customWidth="1"/>
    <col min="16129" max="16129" width="11.109375" customWidth="1"/>
    <col min="16130" max="16130" width="16" customWidth="1"/>
    <col min="16131" max="16131" width="27.5546875" customWidth="1"/>
    <col min="16132" max="16132" width="25.6640625" customWidth="1"/>
    <col min="16133" max="16133" width="5.33203125" customWidth="1"/>
    <col min="16134" max="16134" width="5.6640625" customWidth="1"/>
    <col min="16135" max="16135" width="5.88671875" customWidth="1"/>
    <col min="16136" max="16136" width="4.6640625" customWidth="1"/>
    <col min="16137" max="16137" width="6.33203125" customWidth="1"/>
    <col min="16138" max="16138" width="6.5546875" customWidth="1"/>
    <col min="16139" max="16139" width="6" customWidth="1"/>
    <col min="16140" max="16140" width="5.6640625" customWidth="1"/>
    <col min="16141" max="16141" width="5.5546875" customWidth="1"/>
    <col min="16142" max="16142" width="4.33203125" customWidth="1"/>
    <col min="16143" max="16143" width="10.109375" bestFit="1" customWidth="1"/>
    <col min="16145" max="16145" width="31.88671875" bestFit="1" customWidth="1"/>
    <col min="16146" max="16146" width="24.5546875" bestFit="1" customWidth="1"/>
  </cols>
  <sheetData>
    <row r="1" spans="1:15" s="1" customFormat="1" ht="13.5" customHeight="1" thickBot="1" x14ac:dyDescent="0.3">
      <c r="A1" s="570" t="s">
        <v>600</v>
      </c>
      <c r="B1" s="573" t="s">
        <v>658</v>
      </c>
      <c r="C1" s="573" t="s">
        <v>659</v>
      </c>
      <c r="D1" s="576" t="s">
        <v>660</v>
      </c>
      <c r="E1" s="579" t="s">
        <v>661</v>
      </c>
      <c r="F1" s="580"/>
      <c r="G1" s="580"/>
      <c r="H1" s="580"/>
      <c r="I1" s="580"/>
      <c r="J1" s="580"/>
      <c r="K1" s="580"/>
      <c r="L1" s="580"/>
      <c r="M1" s="580"/>
      <c r="N1" s="581"/>
      <c r="O1" s="230"/>
    </row>
    <row r="2" spans="1:15" s="1" customFormat="1" ht="26.4" customHeight="1" thickBot="1" x14ac:dyDescent="0.3">
      <c r="A2" s="571"/>
      <c r="B2" s="574"/>
      <c r="C2" s="574"/>
      <c r="D2" s="577"/>
      <c r="E2" s="582" t="s">
        <v>662</v>
      </c>
      <c r="F2" s="583"/>
      <c r="G2" s="584" t="s">
        <v>663</v>
      </c>
      <c r="H2" s="585"/>
      <c r="I2" s="586" t="s">
        <v>664</v>
      </c>
      <c r="J2" s="587"/>
      <c r="K2" s="588" t="s">
        <v>665</v>
      </c>
      <c r="L2" s="589"/>
      <c r="M2" s="590" t="s">
        <v>666</v>
      </c>
      <c r="N2" s="591"/>
      <c r="O2" s="230"/>
    </row>
    <row r="3" spans="1:15" s="1" customFormat="1" ht="13.8" thickBot="1" x14ac:dyDescent="0.3">
      <c r="A3" s="572"/>
      <c r="B3" s="575"/>
      <c r="C3" s="575"/>
      <c r="D3" s="578"/>
      <c r="E3" s="26" t="s">
        <v>667</v>
      </c>
      <c r="F3" s="27" t="s">
        <v>254</v>
      </c>
      <c r="G3" s="28" t="s">
        <v>258</v>
      </c>
      <c r="H3" s="29" t="s">
        <v>254</v>
      </c>
      <c r="I3" s="30" t="s">
        <v>667</v>
      </c>
      <c r="J3" s="31" t="s">
        <v>254</v>
      </c>
      <c r="K3" s="32" t="s">
        <v>258</v>
      </c>
      <c r="L3" s="33" t="s">
        <v>254</v>
      </c>
      <c r="M3" s="135" t="s">
        <v>258</v>
      </c>
      <c r="N3" s="136" t="s">
        <v>254</v>
      </c>
      <c r="O3" s="230"/>
    </row>
    <row r="4" spans="1:15" x14ac:dyDescent="0.3">
      <c r="A4" s="129"/>
      <c r="B4" s="130"/>
      <c r="C4" s="130"/>
      <c r="D4" s="130"/>
      <c r="E4" s="321"/>
      <c r="F4" s="321"/>
      <c r="G4" s="322"/>
      <c r="H4" s="322"/>
      <c r="I4" s="323"/>
      <c r="J4" s="323"/>
      <c r="K4" s="324"/>
      <c r="L4" s="324"/>
      <c r="M4" s="137">
        <f>SUM(E4+G4+I4+K4)</f>
        <v>0</v>
      </c>
      <c r="N4" s="137">
        <f>SUM(F4+H4+J4+L4)</f>
        <v>0</v>
      </c>
      <c r="O4" s="131">
        <f>SUM(M4+N4)</f>
        <v>0</v>
      </c>
    </row>
    <row r="5" spans="1:15" x14ac:dyDescent="0.3">
      <c r="A5" s="247"/>
      <c r="B5" s="233"/>
      <c r="C5" s="233"/>
      <c r="D5" s="233"/>
      <c r="E5" s="321"/>
      <c r="F5" s="321"/>
      <c r="G5" s="322"/>
      <c r="H5" s="322"/>
      <c r="I5" s="323"/>
      <c r="J5" s="323"/>
      <c r="K5" s="324"/>
      <c r="L5" s="324"/>
      <c r="M5" s="137">
        <f t="shared" ref="M5:M68" si="0">SUM(E5+G5+I5+K5)</f>
        <v>0</v>
      </c>
      <c r="N5" s="137">
        <f t="shared" ref="N5:N68" si="1">SUM(F5+H5+J5+L5)</f>
        <v>0</v>
      </c>
      <c r="O5" s="132">
        <f t="shared" ref="O5:O75" si="2">SUM(M5+N5)</f>
        <v>0</v>
      </c>
    </row>
    <row r="6" spans="1:15" x14ac:dyDescent="0.3">
      <c r="A6" s="311"/>
      <c r="B6" s="310"/>
      <c r="C6" s="233"/>
      <c r="D6" s="325"/>
      <c r="E6" s="326"/>
      <c r="F6" s="326"/>
      <c r="G6" s="327"/>
      <c r="H6" s="327"/>
      <c r="I6" s="328"/>
      <c r="J6" s="328"/>
      <c r="K6" s="329"/>
      <c r="L6" s="329"/>
      <c r="M6" s="137">
        <f t="shared" si="0"/>
        <v>0</v>
      </c>
      <c r="N6" s="137">
        <f t="shared" si="1"/>
        <v>0</v>
      </c>
      <c r="O6" s="133">
        <f t="shared" si="2"/>
        <v>0</v>
      </c>
    </row>
    <row r="7" spans="1:15" x14ac:dyDescent="0.3">
      <c r="A7" s="311"/>
      <c r="B7" s="310"/>
      <c r="C7" s="330"/>
      <c r="D7" s="310"/>
      <c r="E7" s="326"/>
      <c r="F7" s="326"/>
      <c r="G7" s="327"/>
      <c r="H7" s="327"/>
      <c r="I7" s="328"/>
      <c r="J7" s="328"/>
      <c r="K7" s="329"/>
      <c r="L7" s="329"/>
      <c r="M7" s="137">
        <f t="shared" si="0"/>
        <v>0</v>
      </c>
      <c r="N7" s="137">
        <f t="shared" si="1"/>
        <v>0</v>
      </c>
      <c r="O7" s="133">
        <f t="shared" si="2"/>
        <v>0</v>
      </c>
    </row>
    <row r="8" spans="1:15" x14ac:dyDescent="0.3">
      <c r="A8" s="331"/>
      <c r="B8" s="310"/>
      <c r="C8" s="330"/>
      <c r="D8" s="310"/>
      <c r="E8" s="326"/>
      <c r="F8" s="326"/>
      <c r="G8" s="327"/>
      <c r="H8" s="327"/>
      <c r="I8" s="328"/>
      <c r="J8" s="328"/>
      <c r="K8" s="329"/>
      <c r="L8" s="329"/>
      <c r="M8" s="137">
        <f t="shared" si="0"/>
        <v>0</v>
      </c>
      <c r="N8" s="137">
        <f t="shared" si="1"/>
        <v>0</v>
      </c>
      <c r="O8" s="132">
        <f t="shared" si="2"/>
        <v>0</v>
      </c>
    </row>
    <row r="9" spans="1:15" x14ac:dyDescent="0.3">
      <c r="A9" s="331"/>
      <c r="B9" s="310"/>
      <c r="C9" s="330"/>
      <c r="D9" s="310"/>
      <c r="E9" s="326"/>
      <c r="F9" s="326"/>
      <c r="G9" s="327"/>
      <c r="H9" s="327"/>
      <c r="I9" s="328"/>
      <c r="J9" s="328"/>
      <c r="K9" s="329"/>
      <c r="L9" s="329"/>
      <c r="M9" s="137">
        <f t="shared" si="0"/>
        <v>0</v>
      </c>
      <c r="N9" s="137">
        <f t="shared" si="1"/>
        <v>0</v>
      </c>
      <c r="O9" s="132">
        <f t="shared" si="2"/>
        <v>0</v>
      </c>
    </row>
    <row r="10" spans="1:15" x14ac:dyDescent="0.3">
      <c r="A10" s="332"/>
      <c r="B10" s="290"/>
      <c r="C10" s="330"/>
      <c r="D10" s="310"/>
      <c r="E10" s="333"/>
      <c r="F10" s="333"/>
      <c r="G10" s="334"/>
      <c r="H10" s="334"/>
      <c r="I10" s="335"/>
      <c r="J10" s="335"/>
      <c r="K10" s="336"/>
      <c r="L10" s="336"/>
      <c r="M10" s="137">
        <f t="shared" si="0"/>
        <v>0</v>
      </c>
      <c r="N10" s="137">
        <f t="shared" si="1"/>
        <v>0</v>
      </c>
      <c r="O10" s="132">
        <f t="shared" si="2"/>
        <v>0</v>
      </c>
    </row>
    <row r="11" spans="1:15" x14ac:dyDescent="0.3">
      <c r="A11" s="332"/>
      <c r="B11" s="337"/>
      <c r="C11" s="330"/>
      <c r="D11" s="310"/>
      <c r="E11" s="333"/>
      <c r="F11" s="333"/>
      <c r="G11" s="334"/>
      <c r="H11" s="334"/>
      <c r="I11" s="335"/>
      <c r="J11" s="335"/>
      <c r="K11" s="336"/>
      <c r="L11" s="336"/>
      <c r="M11" s="137">
        <f t="shared" si="0"/>
        <v>0</v>
      </c>
      <c r="N11" s="137">
        <f t="shared" si="1"/>
        <v>0</v>
      </c>
      <c r="O11" s="132">
        <f t="shared" si="2"/>
        <v>0</v>
      </c>
    </row>
    <row r="12" spans="1:15" x14ac:dyDescent="0.3">
      <c r="A12" s="332"/>
      <c r="B12" s="290"/>
      <c r="C12" s="330"/>
      <c r="D12" s="310"/>
      <c r="E12" s="333"/>
      <c r="F12" s="333"/>
      <c r="G12" s="334"/>
      <c r="H12" s="334"/>
      <c r="I12" s="335"/>
      <c r="J12" s="335"/>
      <c r="K12" s="336"/>
      <c r="L12" s="336"/>
      <c r="M12" s="137">
        <f t="shared" si="0"/>
        <v>0</v>
      </c>
      <c r="N12" s="137">
        <f t="shared" si="1"/>
        <v>0</v>
      </c>
      <c r="O12" s="132">
        <f t="shared" si="2"/>
        <v>0</v>
      </c>
    </row>
    <row r="13" spans="1:15" x14ac:dyDescent="0.3">
      <c r="A13" s="338"/>
      <c r="B13" s="339"/>
      <c r="C13" s="330"/>
      <c r="D13" s="310"/>
      <c r="E13" s="340"/>
      <c r="F13" s="340"/>
      <c r="G13" s="341"/>
      <c r="H13" s="341"/>
      <c r="I13" s="342"/>
      <c r="J13" s="342"/>
      <c r="K13" s="336"/>
      <c r="L13" s="336"/>
      <c r="M13" s="137">
        <f t="shared" si="0"/>
        <v>0</v>
      </c>
      <c r="N13" s="137">
        <f t="shared" si="1"/>
        <v>0</v>
      </c>
      <c r="O13" s="132">
        <f t="shared" si="2"/>
        <v>0</v>
      </c>
    </row>
    <row r="14" spans="1:15" x14ac:dyDescent="0.3">
      <c r="A14" s="338"/>
      <c r="B14" s="339"/>
      <c r="C14" s="330"/>
      <c r="D14" s="310"/>
      <c r="E14" s="340"/>
      <c r="F14" s="340"/>
      <c r="G14" s="341"/>
      <c r="H14" s="341"/>
      <c r="I14" s="342"/>
      <c r="J14" s="342"/>
      <c r="K14" s="336"/>
      <c r="L14" s="336"/>
      <c r="M14" s="137">
        <f t="shared" si="0"/>
        <v>0</v>
      </c>
      <c r="N14" s="137">
        <f t="shared" si="1"/>
        <v>0</v>
      </c>
      <c r="O14" s="132">
        <f t="shared" si="2"/>
        <v>0</v>
      </c>
    </row>
    <row r="15" spans="1:15" x14ac:dyDescent="0.3">
      <c r="A15" s="338"/>
      <c r="B15" s="339"/>
      <c r="C15" s="330"/>
      <c r="D15" s="343"/>
      <c r="E15" s="340"/>
      <c r="F15" s="340"/>
      <c r="G15" s="341"/>
      <c r="H15" s="341"/>
      <c r="I15" s="342"/>
      <c r="J15" s="342"/>
      <c r="K15" s="324"/>
      <c r="L15" s="324"/>
      <c r="M15" s="137">
        <f t="shared" si="0"/>
        <v>0</v>
      </c>
      <c r="N15" s="137">
        <f t="shared" si="1"/>
        <v>0</v>
      </c>
      <c r="O15" s="132">
        <f t="shared" si="2"/>
        <v>0</v>
      </c>
    </row>
    <row r="16" spans="1:15" x14ac:dyDescent="0.3">
      <c r="A16" s="338"/>
      <c r="B16" s="339"/>
      <c r="C16" s="330"/>
      <c r="D16" s="343"/>
      <c r="E16" s="340"/>
      <c r="F16" s="340"/>
      <c r="G16" s="341"/>
      <c r="H16" s="341"/>
      <c r="I16" s="342"/>
      <c r="J16" s="342"/>
      <c r="K16" s="324"/>
      <c r="L16" s="324"/>
      <c r="M16" s="137">
        <f t="shared" si="0"/>
        <v>0</v>
      </c>
      <c r="N16" s="137">
        <f t="shared" si="1"/>
        <v>0</v>
      </c>
      <c r="O16" s="132">
        <f t="shared" si="2"/>
        <v>0</v>
      </c>
    </row>
    <row r="17" spans="1:15" x14ac:dyDescent="0.3">
      <c r="A17" s="311"/>
      <c r="B17" s="310"/>
      <c r="C17" s="36"/>
      <c r="D17" s="343"/>
      <c r="E17" s="326"/>
      <c r="F17" s="326"/>
      <c r="G17" s="327"/>
      <c r="H17" s="327"/>
      <c r="I17" s="328"/>
      <c r="J17" s="328"/>
      <c r="K17" s="324"/>
      <c r="L17" s="324"/>
      <c r="M17" s="137">
        <f t="shared" si="0"/>
        <v>0</v>
      </c>
      <c r="N17" s="137">
        <f t="shared" si="1"/>
        <v>0</v>
      </c>
      <c r="O17" s="132">
        <f t="shared" si="2"/>
        <v>0</v>
      </c>
    </row>
    <row r="18" spans="1:15" ht="15.75" customHeight="1" x14ac:dyDescent="0.3">
      <c r="A18" s="344"/>
      <c r="B18" s="310"/>
      <c r="C18" s="36"/>
      <c r="D18" s="343"/>
      <c r="E18" s="326"/>
      <c r="F18" s="326"/>
      <c r="G18" s="327"/>
      <c r="H18" s="327"/>
      <c r="I18" s="328"/>
      <c r="J18" s="328"/>
      <c r="K18" s="336"/>
      <c r="L18" s="336"/>
      <c r="M18" s="137">
        <f t="shared" si="0"/>
        <v>0</v>
      </c>
      <c r="N18" s="137">
        <f t="shared" si="1"/>
        <v>0</v>
      </c>
      <c r="O18" s="132">
        <f t="shared" si="2"/>
        <v>0</v>
      </c>
    </row>
    <row r="19" spans="1:15" x14ac:dyDescent="0.3">
      <c r="A19" s="311"/>
      <c r="B19" s="310"/>
      <c r="C19" s="36"/>
      <c r="D19" s="343"/>
      <c r="E19" s="340"/>
      <c r="F19" s="340"/>
      <c r="G19" s="341"/>
      <c r="H19" s="341"/>
      <c r="I19" s="342"/>
      <c r="J19" s="342"/>
      <c r="K19" s="336"/>
      <c r="L19" s="336"/>
      <c r="M19" s="137">
        <f t="shared" si="0"/>
        <v>0</v>
      </c>
      <c r="N19" s="137">
        <f t="shared" si="1"/>
        <v>0</v>
      </c>
      <c r="O19" s="132">
        <f t="shared" si="2"/>
        <v>0</v>
      </c>
    </row>
    <row r="20" spans="1:15" x14ac:dyDescent="0.3">
      <c r="A20" s="345"/>
      <c r="B20" s="310"/>
      <c r="C20" s="346"/>
      <c r="D20" s="343"/>
      <c r="E20" s="340"/>
      <c r="F20" s="340"/>
      <c r="G20" s="341"/>
      <c r="H20" s="341"/>
      <c r="I20" s="342"/>
      <c r="J20" s="342"/>
      <c r="K20" s="336"/>
      <c r="L20" s="336"/>
      <c r="M20" s="137">
        <f t="shared" si="0"/>
        <v>0</v>
      </c>
      <c r="N20" s="137">
        <f t="shared" si="1"/>
        <v>0</v>
      </c>
      <c r="O20" s="132">
        <f t="shared" si="2"/>
        <v>0</v>
      </c>
    </row>
    <row r="21" spans="1:15" x14ac:dyDescent="0.3">
      <c r="A21" s="344"/>
      <c r="B21" s="310"/>
      <c r="C21" s="346"/>
      <c r="D21" s="290"/>
      <c r="E21" s="326"/>
      <c r="F21" s="326"/>
      <c r="G21" s="327"/>
      <c r="H21" s="327"/>
      <c r="I21" s="328"/>
      <c r="J21" s="328"/>
      <c r="K21" s="336"/>
      <c r="L21" s="336"/>
      <c r="M21" s="137">
        <f t="shared" si="0"/>
        <v>0</v>
      </c>
      <c r="N21" s="137">
        <f t="shared" si="1"/>
        <v>0</v>
      </c>
      <c r="O21" s="132">
        <f t="shared" si="2"/>
        <v>0</v>
      </c>
    </row>
    <row r="22" spans="1:15" x14ac:dyDescent="0.3">
      <c r="A22" s="344"/>
      <c r="B22" s="310"/>
      <c r="C22" s="346"/>
      <c r="D22" s="290"/>
      <c r="E22" s="326"/>
      <c r="F22" s="326"/>
      <c r="G22" s="327"/>
      <c r="H22" s="327"/>
      <c r="I22" s="328"/>
      <c r="J22" s="328"/>
      <c r="K22" s="336"/>
      <c r="L22" s="336"/>
      <c r="M22" s="137">
        <f t="shared" si="0"/>
        <v>0</v>
      </c>
      <c r="N22" s="137">
        <f t="shared" si="1"/>
        <v>0</v>
      </c>
      <c r="O22" s="134">
        <f t="shared" si="2"/>
        <v>0</v>
      </c>
    </row>
    <row r="23" spans="1:15" x14ac:dyDescent="0.3">
      <c r="A23" s="344"/>
      <c r="B23" s="330"/>
      <c r="C23" s="36"/>
      <c r="D23" s="290"/>
      <c r="E23" s="321"/>
      <c r="F23" s="321"/>
      <c r="G23" s="322"/>
      <c r="H23" s="322"/>
      <c r="I23" s="323"/>
      <c r="J23" s="323"/>
      <c r="K23" s="336"/>
      <c r="L23" s="336"/>
      <c r="M23" s="137">
        <f t="shared" si="0"/>
        <v>0</v>
      </c>
      <c r="N23" s="137">
        <f t="shared" si="1"/>
        <v>0</v>
      </c>
      <c r="O23" s="134">
        <f t="shared" si="2"/>
        <v>0</v>
      </c>
    </row>
    <row r="24" spans="1:15" x14ac:dyDescent="0.3">
      <c r="A24" s="347"/>
      <c r="B24" s="233"/>
      <c r="C24" s="36"/>
      <c r="D24" s="290"/>
      <c r="E24" s="321"/>
      <c r="F24" s="321"/>
      <c r="G24" s="322"/>
      <c r="H24" s="322"/>
      <c r="I24" s="323"/>
      <c r="J24" s="323"/>
      <c r="K24" s="336"/>
      <c r="L24" s="336"/>
      <c r="M24" s="137">
        <f t="shared" si="0"/>
        <v>0</v>
      </c>
      <c r="N24" s="137">
        <f t="shared" si="1"/>
        <v>0</v>
      </c>
      <c r="O24" s="134">
        <f t="shared" si="2"/>
        <v>0</v>
      </c>
    </row>
    <row r="25" spans="1:15" x14ac:dyDescent="0.3">
      <c r="A25" s="347"/>
      <c r="B25" s="233"/>
      <c r="C25" s="36"/>
      <c r="D25" s="290"/>
      <c r="E25" s="321"/>
      <c r="F25" s="321"/>
      <c r="G25" s="322"/>
      <c r="H25" s="322"/>
      <c r="I25" s="323"/>
      <c r="J25" s="323"/>
      <c r="K25" s="336"/>
      <c r="L25" s="336"/>
      <c r="M25" s="137">
        <f t="shared" si="0"/>
        <v>0</v>
      </c>
      <c r="N25" s="137">
        <f t="shared" si="1"/>
        <v>0</v>
      </c>
      <c r="O25" s="134">
        <f t="shared" si="2"/>
        <v>0</v>
      </c>
    </row>
    <row r="26" spans="1:15" x14ac:dyDescent="0.3">
      <c r="A26" s="347"/>
      <c r="B26" s="233"/>
      <c r="C26" s="36"/>
      <c r="D26" s="290"/>
      <c r="E26" s="321"/>
      <c r="F26" s="321"/>
      <c r="G26" s="322"/>
      <c r="H26" s="322"/>
      <c r="I26" s="323"/>
      <c r="J26" s="323"/>
      <c r="K26" s="336"/>
      <c r="L26" s="336"/>
      <c r="M26" s="137">
        <f t="shared" si="0"/>
        <v>0</v>
      </c>
      <c r="N26" s="137">
        <f t="shared" si="1"/>
        <v>0</v>
      </c>
      <c r="O26" s="134">
        <f t="shared" si="2"/>
        <v>0</v>
      </c>
    </row>
    <row r="27" spans="1:15" x14ac:dyDescent="0.3">
      <c r="A27" s="348"/>
      <c r="B27" s="290"/>
      <c r="C27" s="36"/>
      <c r="D27" s="349"/>
      <c r="E27" s="333"/>
      <c r="F27" s="333"/>
      <c r="G27" s="334"/>
      <c r="H27" s="334"/>
      <c r="I27" s="335"/>
      <c r="J27" s="335"/>
      <c r="K27" s="336"/>
      <c r="L27" s="336"/>
      <c r="M27" s="137">
        <f t="shared" si="0"/>
        <v>0</v>
      </c>
      <c r="N27" s="137">
        <f t="shared" si="1"/>
        <v>0</v>
      </c>
      <c r="O27" s="134">
        <f t="shared" si="2"/>
        <v>0</v>
      </c>
    </row>
    <row r="28" spans="1:15" x14ac:dyDescent="0.3">
      <c r="A28" s="348"/>
      <c r="B28" s="290"/>
      <c r="C28" s="36"/>
      <c r="D28" s="349"/>
      <c r="E28" s="333"/>
      <c r="F28" s="333"/>
      <c r="G28" s="334"/>
      <c r="H28" s="334"/>
      <c r="I28" s="335"/>
      <c r="J28" s="335"/>
      <c r="K28" s="336"/>
      <c r="L28" s="336"/>
      <c r="M28" s="137">
        <f t="shared" si="0"/>
        <v>0</v>
      </c>
      <c r="N28" s="137">
        <f t="shared" si="1"/>
        <v>0</v>
      </c>
      <c r="O28" s="134">
        <f t="shared" si="2"/>
        <v>0</v>
      </c>
    </row>
    <row r="29" spans="1:15" x14ac:dyDescent="0.3">
      <c r="A29" s="350"/>
      <c r="B29" s="290"/>
      <c r="C29" s="36"/>
      <c r="D29" s="337"/>
      <c r="E29" s="333"/>
      <c r="F29" s="333"/>
      <c r="G29" s="334"/>
      <c r="H29" s="334"/>
      <c r="I29" s="335"/>
      <c r="J29" s="335"/>
      <c r="K29" s="336"/>
      <c r="L29" s="336"/>
      <c r="M29" s="137">
        <f t="shared" si="0"/>
        <v>0</v>
      </c>
      <c r="N29" s="137">
        <f t="shared" si="1"/>
        <v>0</v>
      </c>
      <c r="O29" s="134">
        <f t="shared" si="2"/>
        <v>0</v>
      </c>
    </row>
    <row r="30" spans="1:15" x14ac:dyDescent="0.3">
      <c r="A30" s="350"/>
      <c r="B30" s="290"/>
      <c r="C30" s="36"/>
      <c r="D30" s="337"/>
      <c r="E30" s="333"/>
      <c r="F30" s="333"/>
      <c r="G30" s="334"/>
      <c r="H30" s="334"/>
      <c r="I30" s="335"/>
      <c r="J30" s="335"/>
      <c r="K30" s="336"/>
      <c r="L30" s="336"/>
      <c r="M30" s="137">
        <f t="shared" si="0"/>
        <v>0</v>
      </c>
      <c r="N30" s="137">
        <f t="shared" si="1"/>
        <v>0</v>
      </c>
      <c r="O30" s="134">
        <f t="shared" si="2"/>
        <v>0</v>
      </c>
    </row>
    <row r="31" spans="1:15" x14ac:dyDescent="0.3">
      <c r="A31" s="350"/>
      <c r="B31" s="290"/>
      <c r="C31" s="36"/>
      <c r="D31" s="337"/>
      <c r="E31" s="333"/>
      <c r="F31" s="333"/>
      <c r="G31" s="334"/>
      <c r="H31" s="334"/>
      <c r="I31" s="335"/>
      <c r="J31" s="335"/>
      <c r="K31" s="336"/>
      <c r="L31" s="336"/>
      <c r="M31" s="137">
        <f t="shared" si="0"/>
        <v>0</v>
      </c>
      <c r="N31" s="137">
        <f t="shared" si="1"/>
        <v>0</v>
      </c>
      <c r="O31" s="134">
        <f t="shared" si="2"/>
        <v>0</v>
      </c>
    </row>
    <row r="32" spans="1:15" x14ac:dyDescent="0.3">
      <c r="A32" s="350"/>
      <c r="B32" s="290"/>
      <c r="C32" s="36"/>
      <c r="D32" s="337"/>
      <c r="E32" s="333"/>
      <c r="F32" s="333"/>
      <c r="G32" s="334"/>
      <c r="H32" s="334"/>
      <c r="I32" s="335"/>
      <c r="J32" s="335"/>
      <c r="K32" s="336"/>
      <c r="L32" s="336"/>
      <c r="M32" s="137">
        <f t="shared" si="0"/>
        <v>0</v>
      </c>
      <c r="N32" s="137">
        <f t="shared" si="1"/>
        <v>0</v>
      </c>
      <c r="O32" s="134">
        <f t="shared" si="2"/>
        <v>0</v>
      </c>
    </row>
    <row r="33" spans="1:15" x14ac:dyDescent="0.3">
      <c r="A33" s="247"/>
      <c r="B33" s="233"/>
      <c r="C33" s="36"/>
      <c r="D33" s="337"/>
      <c r="E33" s="321"/>
      <c r="F33" s="321"/>
      <c r="G33" s="322"/>
      <c r="H33" s="322"/>
      <c r="I33" s="323"/>
      <c r="J33" s="323"/>
      <c r="K33" s="324"/>
      <c r="L33" s="324"/>
      <c r="M33" s="137">
        <f t="shared" si="0"/>
        <v>0</v>
      </c>
      <c r="N33" s="137">
        <f t="shared" si="1"/>
        <v>0</v>
      </c>
      <c r="O33" s="134">
        <f t="shared" si="2"/>
        <v>0</v>
      </c>
    </row>
    <row r="34" spans="1:15" x14ac:dyDescent="0.3">
      <c r="A34" s="247"/>
      <c r="B34" s="233"/>
      <c r="C34" s="36"/>
      <c r="D34" s="337"/>
      <c r="E34" s="321"/>
      <c r="F34" s="321"/>
      <c r="G34" s="322"/>
      <c r="H34" s="322"/>
      <c r="I34" s="323"/>
      <c r="J34" s="323"/>
      <c r="K34" s="324"/>
      <c r="L34" s="324"/>
      <c r="M34" s="137">
        <f t="shared" si="0"/>
        <v>0</v>
      </c>
      <c r="N34" s="137">
        <f t="shared" si="1"/>
        <v>0</v>
      </c>
      <c r="O34" s="134">
        <f t="shared" si="2"/>
        <v>0</v>
      </c>
    </row>
    <row r="35" spans="1:15" x14ac:dyDescent="0.3">
      <c r="A35" s="350"/>
      <c r="B35" s="290"/>
      <c r="C35" s="36"/>
      <c r="D35" s="337"/>
      <c r="E35" s="333"/>
      <c r="F35" s="333"/>
      <c r="G35" s="334"/>
      <c r="H35" s="334"/>
      <c r="I35" s="335"/>
      <c r="J35" s="335"/>
      <c r="K35" s="336"/>
      <c r="L35" s="336"/>
      <c r="M35" s="137">
        <f t="shared" si="0"/>
        <v>0</v>
      </c>
      <c r="N35" s="137">
        <f t="shared" si="1"/>
        <v>0</v>
      </c>
      <c r="O35" s="134">
        <f>SUM(M35+N35)</f>
        <v>0</v>
      </c>
    </row>
    <row r="36" spans="1:15" x14ac:dyDescent="0.3">
      <c r="A36" s="350"/>
      <c r="B36" s="290"/>
      <c r="C36" s="36"/>
      <c r="D36" s="337"/>
      <c r="E36" s="333"/>
      <c r="F36" s="333"/>
      <c r="G36" s="334"/>
      <c r="H36" s="334"/>
      <c r="I36" s="335"/>
      <c r="J36" s="335"/>
      <c r="K36" s="336"/>
      <c r="L36" s="336"/>
      <c r="M36" s="137">
        <f t="shared" si="0"/>
        <v>0</v>
      </c>
      <c r="N36" s="137">
        <f t="shared" si="1"/>
        <v>0</v>
      </c>
      <c r="O36" s="134">
        <f t="shared" si="2"/>
        <v>0</v>
      </c>
    </row>
    <row r="37" spans="1:15" x14ac:dyDescent="0.3">
      <c r="A37" s="350"/>
      <c r="B37" s="290"/>
      <c r="C37" s="36"/>
      <c r="D37" s="337"/>
      <c r="E37" s="333"/>
      <c r="F37" s="333"/>
      <c r="G37" s="334"/>
      <c r="H37" s="334"/>
      <c r="I37" s="335"/>
      <c r="J37" s="335"/>
      <c r="K37" s="336"/>
      <c r="L37" s="336"/>
      <c r="M37" s="137">
        <f t="shared" si="0"/>
        <v>0</v>
      </c>
      <c r="N37" s="137">
        <f t="shared" si="1"/>
        <v>0</v>
      </c>
      <c r="O37" s="134">
        <f t="shared" si="2"/>
        <v>0</v>
      </c>
    </row>
    <row r="38" spans="1:15" x14ac:dyDescent="0.3">
      <c r="A38" s="350"/>
      <c r="B38" s="290"/>
      <c r="C38" s="36"/>
      <c r="D38" s="337"/>
      <c r="E38" s="333"/>
      <c r="F38" s="333"/>
      <c r="G38" s="334"/>
      <c r="H38" s="334"/>
      <c r="I38" s="335"/>
      <c r="J38" s="335"/>
      <c r="K38" s="336"/>
      <c r="L38" s="336"/>
      <c r="M38" s="137">
        <f t="shared" si="0"/>
        <v>0</v>
      </c>
      <c r="N38" s="137">
        <f t="shared" si="1"/>
        <v>0</v>
      </c>
      <c r="O38" s="134">
        <f t="shared" si="2"/>
        <v>0</v>
      </c>
    </row>
    <row r="39" spans="1:15" x14ac:dyDescent="0.3">
      <c r="A39" s="350"/>
      <c r="B39" s="290"/>
      <c r="C39" s="36"/>
      <c r="D39" s="337"/>
      <c r="E39" s="333"/>
      <c r="F39" s="333"/>
      <c r="G39" s="334"/>
      <c r="H39" s="334"/>
      <c r="I39" s="335"/>
      <c r="J39" s="335"/>
      <c r="K39" s="336"/>
      <c r="L39" s="336"/>
      <c r="M39" s="137">
        <f t="shared" si="0"/>
        <v>0</v>
      </c>
      <c r="N39" s="137">
        <f t="shared" si="1"/>
        <v>0</v>
      </c>
      <c r="O39" s="134">
        <f t="shared" si="2"/>
        <v>0</v>
      </c>
    </row>
    <row r="40" spans="1:15" x14ac:dyDescent="0.3">
      <c r="A40" s="247"/>
      <c r="B40" s="233"/>
      <c r="C40" s="36"/>
      <c r="D40" s="337"/>
      <c r="E40" s="321"/>
      <c r="F40" s="321"/>
      <c r="G40" s="322"/>
      <c r="H40" s="322"/>
      <c r="I40" s="323"/>
      <c r="J40" s="323"/>
      <c r="K40" s="324"/>
      <c r="L40" s="324"/>
      <c r="M40" s="137">
        <f t="shared" si="0"/>
        <v>0</v>
      </c>
      <c r="N40" s="137">
        <f t="shared" si="1"/>
        <v>0</v>
      </c>
      <c r="O40" s="134">
        <f t="shared" si="2"/>
        <v>0</v>
      </c>
    </row>
    <row r="41" spans="1:15" x14ac:dyDescent="0.3">
      <c r="A41" s="247"/>
      <c r="B41" s="233"/>
      <c r="C41" s="36"/>
      <c r="D41" s="337"/>
      <c r="E41" s="321"/>
      <c r="F41" s="321"/>
      <c r="G41" s="322"/>
      <c r="H41" s="322"/>
      <c r="I41" s="323"/>
      <c r="J41" s="323"/>
      <c r="K41" s="324"/>
      <c r="L41" s="324"/>
      <c r="M41" s="137">
        <f t="shared" si="0"/>
        <v>0</v>
      </c>
      <c r="N41" s="137">
        <f t="shared" si="1"/>
        <v>0</v>
      </c>
      <c r="O41" s="134">
        <f t="shared" si="2"/>
        <v>0</v>
      </c>
    </row>
    <row r="42" spans="1:15" x14ac:dyDescent="0.3">
      <c r="A42" s="351"/>
      <c r="B42" s="352"/>
      <c r="C42" s="36"/>
      <c r="D42" s="337"/>
      <c r="E42" s="353"/>
      <c r="F42" s="353"/>
      <c r="G42" s="354"/>
      <c r="H42" s="354"/>
      <c r="I42" s="355"/>
      <c r="J42" s="355"/>
      <c r="K42" s="356"/>
      <c r="L42" s="356"/>
      <c r="M42" s="137">
        <f t="shared" si="0"/>
        <v>0</v>
      </c>
      <c r="N42" s="137">
        <f t="shared" si="1"/>
        <v>0</v>
      </c>
      <c r="O42" s="132">
        <f t="shared" si="2"/>
        <v>0</v>
      </c>
    </row>
    <row r="43" spans="1:15" ht="15.6" x14ac:dyDescent="0.3">
      <c r="A43" s="331"/>
      <c r="B43" s="330"/>
      <c r="C43" s="36"/>
      <c r="D43" s="352"/>
      <c r="E43" s="353"/>
      <c r="F43" s="353"/>
      <c r="G43" s="357"/>
      <c r="H43" s="357"/>
      <c r="I43" s="358"/>
      <c r="J43" s="358"/>
      <c r="K43" s="356"/>
      <c r="L43" s="356"/>
      <c r="M43" s="137">
        <f t="shared" si="0"/>
        <v>0</v>
      </c>
      <c r="N43" s="137">
        <f t="shared" si="1"/>
        <v>0</v>
      </c>
      <c r="O43" s="132">
        <f t="shared" si="2"/>
        <v>0</v>
      </c>
    </row>
    <row r="44" spans="1:15" ht="15.6" x14ac:dyDescent="0.3">
      <c r="A44" s="331"/>
      <c r="B44" s="330"/>
      <c r="C44" s="36"/>
      <c r="D44" s="352"/>
      <c r="E44" s="353"/>
      <c r="F44" s="353"/>
      <c r="G44" s="357"/>
      <c r="H44" s="357"/>
      <c r="I44" s="358"/>
      <c r="J44" s="358"/>
      <c r="K44" s="356"/>
      <c r="L44" s="356"/>
      <c r="M44" s="137">
        <f t="shared" si="0"/>
        <v>0</v>
      </c>
      <c r="N44" s="137">
        <f t="shared" si="1"/>
        <v>0</v>
      </c>
      <c r="O44" s="132">
        <f t="shared" si="2"/>
        <v>0</v>
      </c>
    </row>
    <row r="45" spans="1:15" ht="15.6" x14ac:dyDescent="0.3">
      <c r="A45" s="331"/>
      <c r="B45" s="330"/>
      <c r="C45" s="36"/>
      <c r="D45" s="352"/>
      <c r="E45" s="353"/>
      <c r="F45" s="353"/>
      <c r="G45" s="357"/>
      <c r="H45" s="357"/>
      <c r="I45" s="358"/>
      <c r="J45" s="358"/>
      <c r="K45" s="356"/>
      <c r="L45" s="356"/>
      <c r="M45" s="137">
        <f t="shared" si="0"/>
        <v>0</v>
      </c>
      <c r="N45" s="137">
        <f t="shared" si="1"/>
        <v>0</v>
      </c>
      <c r="O45" s="132">
        <f t="shared" si="2"/>
        <v>0</v>
      </c>
    </row>
    <row r="46" spans="1:15" ht="15.6" x14ac:dyDescent="0.3">
      <c r="A46" s="331"/>
      <c r="B46" s="330"/>
      <c r="C46" s="36"/>
      <c r="D46" s="352"/>
      <c r="E46" s="353"/>
      <c r="F46" s="353"/>
      <c r="G46" s="357"/>
      <c r="H46" s="357"/>
      <c r="I46" s="358"/>
      <c r="J46" s="358"/>
      <c r="K46" s="356"/>
      <c r="L46" s="356"/>
      <c r="M46" s="137">
        <f t="shared" si="0"/>
        <v>0</v>
      </c>
      <c r="N46" s="137">
        <f t="shared" si="1"/>
        <v>0</v>
      </c>
      <c r="O46" s="132">
        <f t="shared" si="2"/>
        <v>0</v>
      </c>
    </row>
    <row r="47" spans="1:15" ht="15.6" x14ac:dyDescent="0.3">
      <c r="A47" s="331"/>
      <c r="B47" s="330"/>
      <c r="C47" s="36"/>
      <c r="D47" s="352"/>
      <c r="E47" s="353"/>
      <c r="F47" s="353"/>
      <c r="G47" s="357"/>
      <c r="H47" s="357"/>
      <c r="I47" s="358"/>
      <c r="J47" s="358"/>
      <c r="K47" s="356"/>
      <c r="L47" s="356"/>
      <c r="M47" s="137">
        <f t="shared" si="0"/>
        <v>0</v>
      </c>
      <c r="N47" s="137">
        <f t="shared" si="1"/>
        <v>0</v>
      </c>
      <c r="O47" s="132">
        <f t="shared" si="2"/>
        <v>0</v>
      </c>
    </row>
    <row r="48" spans="1:15" ht="15.6" x14ac:dyDescent="0.3">
      <c r="A48" s="331"/>
      <c r="B48" s="330"/>
      <c r="C48" s="36"/>
      <c r="D48" s="352"/>
      <c r="E48" s="353"/>
      <c r="F48" s="353"/>
      <c r="G48" s="357"/>
      <c r="H48" s="357"/>
      <c r="I48" s="358"/>
      <c r="J48" s="358"/>
      <c r="K48" s="356"/>
      <c r="L48" s="356"/>
      <c r="M48" s="137">
        <f t="shared" si="0"/>
        <v>0</v>
      </c>
      <c r="N48" s="137">
        <f t="shared" si="1"/>
        <v>0</v>
      </c>
      <c r="O48" s="132">
        <f t="shared" si="2"/>
        <v>0</v>
      </c>
    </row>
    <row r="49" spans="1:15" x14ac:dyDescent="0.3">
      <c r="A49" s="351"/>
      <c r="B49" s="352"/>
      <c r="C49" s="352"/>
      <c r="D49" s="352"/>
      <c r="E49" s="353"/>
      <c r="F49" s="353"/>
      <c r="G49" s="354"/>
      <c r="H49" s="354"/>
      <c r="I49" s="355"/>
      <c r="J49" s="355"/>
      <c r="K49" s="356"/>
      <c r="L49" s="356"/>
      <c r="M49" s="137">
        <f t="shared" si="0"/>
        <v>0</v>
      </c>
      <c r="N49" s="137">
        <f t="shared" si="1"/>
        <v>0</v>
      </c>
      <c r="O49" s="132">
        <f t="shared" si="2"/>
        <v>0</v>
      </c>
    </row>
    <row r="50" spans="1:15" x14ac:dyDescent="0.3">
      <c r="A50" s="351"/>
      <c r="B50" s="352"/>
      <c r="C50" s="352"/>
      <c r="D50" s="352"/>
      <c r="E50" s="353"/>
      <c r="F50" s="353"/>
      <c r="G50" s="354"/>
      <c r="H50" s="354"/>
      <c r="I50" s="355"/>
      <c r="J50" s="355"/>
      <c r="K50" s="356"/>
      <c r="L50" s="356"/>
      <c r="M50" s="137">
        <f t="shared" si="0"/>
        <v>0</v>
      </c>
      <c r="N50" s="137">
        <f t="shared" si="1"/>
        <v>0</v>
      </c>
      <c r="O50" s="132">
        <f t="shared" si="2"/>
        <v>0</v>
      </c>
    </row>
    <row r="51" spans="1:15" x14ac:dyDescent="0.3">
      <c r="A51" s="351"/>
      <c r="B51" s="352"/>
      <c r="C51" s="352"/>
      <c r="D51" s="352"/>
      <c r="E51" s="353"/>
      <c r="F51" s="353"/>
      <c r="G51" s="354"/>
      <c r="H51" s="354"/>
      <c r="I51" s="355"/>
      <c r="J51" s="355"/>
      <c r="K51" s="356"/>
      <c r="L51" s="356"/>
      <c r="M51" s="137">
        <f t="shared" si="0"/>
        <v>0</v>
      </c>
      <c r="N51" s="137">
        <f t="shared" si="1"/>
        <v>0</v>
      </c>
      <c r="O51" s="132">
        <f t="shared" si="2"/>
        <v>0</v>
      </c>
    </row>
    <row r="52" spans="1:15" x14ac:dyDescent="0.3">
      <c r="A52" s="351"/>
      <c r="B52" s="352"/>
      <c r="C52" s="352"/>
      <c r="D52" s="352"/>
      <c r="E52" s="353"/>
      <c r="F52" s="353"/>
      <c r="G52" s="354"/>
      <c r="H52" s="354"/>
      <c r="I52" s="355"/>
      <c r="J52" s="355"/>
      <c r="K52" s="356"/>
      <c r="L52" s="356"/>
      <c r="M52" s="137">
        <f t="shared" si="0"/>
        <v>0</v>
      </c>
      <c r="N52" s="137">
        <f t="shared" si="1"/>
        <v>0</v>
      </c>
      <c r="O52" s="132">
        <f t="shared" si="2"/>
        <v>0</v>
      </c>
    </row>
    <row r="53" spans="1:15" x14ac:dyDescent="0.3">
      <c r="A53" s="351"/>
      <c r="B53" s="352"/>
      <c r="C53" s="352"/>
      <c r="D53" s="352"/>
      <c r="E53" s="353"/>
      <c r="F53" s="353"/>
      <c r="G53" s="354"/>
      <c r="H53" s="354"/>
      <c r="I53" s="355"/>
      <c r="J53" s="355"/>
      <c r="K53" s="356"/>
      <c r="L53" s="356"/>
      <c r="M53" s="137">
        <f t="shared" si="0"/>
        <v>0</v>
      </c>
      <c r="N53" s="137">
        <f t="shared" si="1"/>
        <v>0</v>
      </c>
      <c r="O53" s="132">
        <f t="shared" si="2"/>
        <v>0</v>
      </c>
    </row>
    <row r="54" spans="1:15" x14ac:dyDescent="0.3">
      <c r="A54" s="351"/>
      <c r="B54" s="352"/>
      <c r="C54" s="352"/>
      <c r="D54" s="352"/>
      <c r="E54" s="353"/>
      <c r="F54" s="353"/>
      <c r="G54" s="354"/>
      <c r="H54" s="354"/>
      <c r="I54" s="355"/>
      <c r="J54" s="355"/>
      <c r="K54" s="356"/>
      <c r="L54" s="356"/>
      <c r="M54" s="137">
        <f t="shared" si="0"/>
        <v>0</v>
      </c>
      <c r="N54" s="137">
        <f t="shared" si="1"/>
        <v>0</v>
      </c>
      <c r="O54" s="132">
        <f t="shared" si="2"/>
        <v>0</v>
      </c>
    </row>
    <row r="55" spans="1:15" x14ac:dyDescent="0.3">
      <c r="A55" s="351"/>
      <c r="B55" s="352"/>
      <c r="C55" s="352"/>
      <c r="D55" s="352"/>
      <c r="E55" s="353"/>
      <c r="F55" s="353"/>
      <c r="G55" s="354"/>
      <c r="H55" s="354"/>
      <c r="I55" s="355"/>
      <c r="J55" s="355"/>
      <c r="K55" s="356"/>
      <c r="L55" s="356"/>
      <c r="M55" s="137">
        <f t="shared" si="0"/>
        <v>0</v>
      </c>
      <c r="N55" s="137">
        <f t="shared" si="1"/>
        <v>0</v>
      </c>
      <c r="O55" s="132">
        <f t="shared" si="2"/>
        <v>0</v>
      </c>
    </row>
    <row r="56" spans="1:15" x14ac:dyDescent="0.3">
      <c r="A56" s="351"/>
      <c r="B56" s="352"/>
      <c r="C56" s="352"/>
      <c r="D56" s="352"/>
      <c r="E56" s="353"/>
      <c r="F56" s="353"/>
      <c r="G56" s="354"/>
      <c r="H56" s="354"/>
      <c r="I56" s="355"/>
      <c r="J56" s="355"/>
      <c r="K56" s="356"/>
      <c r="L56" s="356"/>
      <c r="M56" s="137">
        <f t="shared" si="0"/>
        <v>0</v>
      </c>
      <c r="N56" s="137">
        <f t="shared" si="1"/>
        <v>0</v>
      </c>
      <c r="O56" s="132">
        <f t="shared" si="2"/>
        <v>0</v>
      </c>
    </row>
    <row r="57" spans="1:15" x14ac:dyDescent="0.3">
      <c r="A57" s="351"/>
      <c r="B57" s="352"/>
      <c r="C57" s="352"/>
      <c r="D57" s="352"/>
      <c r="E57" s="353"/>
      <c r="F57" s="353"/>
      <c r="G57" s="354"/>
      <c r="H57" s="354"/>
      <c r="I57" s="355"/>
      <c r="J57" s="355"/>
      <c r="K57" s="356"/>
      <c r="L57" s="356"/>
      <c r="M57" s="137">
        <f t="shared" si="0"/>
        <v>0</v>
      </c>
      <c r="N57" s="137">
        <f t="shared" si="1"/>
        <v>0</v>
      </c>
      <c r="O57" s="132">
        <f t="shared" si="2"/>
        <v>0</v>
      </c>
    </row>
    <row r="58" spans="1:15" x14ac:dyDescent="0.3">
      <c r="A58" s="351"/>
      <c r="B58" s="352"/>
      <c r="C58" s="352"/>
      <c r="D58" s="352"/>
      <c r="E58" s="353"/>
      <c r="F58" s="353"/>
      <c r="G58" s="354"/>
      <c r="H58" s="354"/>
      <c r="I58" s="355"/>
      <c r="J58" s="355"/>
      <c r="K58" s="356"/>
      <c r="L58" s="356"/>
      <c r="M58" s="137">
        <f t="shared" si="0"/>
        <v>0</v>
      </c>
      <c r="N58" s="137">
        <f t="shared" si="1"/>
        <v>0</v>
      </c>
      <c r="O58" s="132">
        <f t="shared" si="2"/>
        <v>0</v>
      </c>
    </row>
    <row r="59" spans="1:15" x14ac:dyDescent="0.3">
      <c r="A59" s="351"/>
      <c r="B59" s="352"/>
      <c r="C59" s="352"/>
      <c r="D59" s="352"/>
      <c r="E59" s="353"/>
      <c r="F59" s="353"/>
      <c r="G59" s="354"/>
      <c r="H59" s="354"/>
      <c r="I59" s="355"/>
      <c r="J59" s="355"/>
      <c r="K59" s="356"/>
      <c r="L59" s="356"/>
      <c r="M59" s="137">
        <f t="shared" si="0"/>
        <v>0</v>
      </c>
      <c r="N59" s="137">
        <f t="shared" si="1"/>
        <v>0</v>
      </c>
      <c r="O59" s="132">
        <f t="shared" si="2"/>
        <v>0</v>
      </c>
    </row>
    <row r="60" spans="1:15" x14ac:dyDescent="0.3">
      <c r="A60" s="351"/>
      <c r="B60" s="352"/>
      <c r="C60" s="352"/>
      <c r="D60" s="352"/>
      <c r="E60" s="353"/>
      <c r="F60" s="353"/>
      <c r="G60" s="354"/>
      <c r="H60" s="354"/>
      <c r="I60" s="355"/>
      <c r="J60" s="355"/>
      <c r="K60" s="356"/>
      <c r="L60" s="356"/>
      <c r="M60" s="137">
        <f t="shared" si="0"/>
        <v>0</v>
      </c>
      <c r="N60" s="137">
        <f t="shared" si="1"/>
        <v>0</v>
      </c>
      <c r="O60" s="132">
        <f t="shared" si="2"/>
        <v>0</v>
      </c>
    </row>
    <row r="61" spans="1:15" x14ac:dyDescent="0.3">
      <c r="A61" s="359"/>
      <c r="B61" s="360"/>
      <c r="C61" s="360"/>
      <c r="D61" s="360"/>
      <c r="E61" s="361"/>
      <c r="F61" s="361"/>
      <c r="G61" s="362"/>
      <c r="H61" s="362"/>
      <c r="I61" s="363"/>
      <c r="J61" s="363"/>
      <c r="K61" s="364"/>
      <c r="L61" s="364"/>
      <c r="M61" s="137">
        <f t="shared" si="0"/>
        <v>0</v>
      </c>
      <c r="N61" s="137">
        <f t="shared" si="1"/>
        <v>0</v>
      </c>
      <c r="O61" s="132">
        <f t="shared" si="2"/>
        <v>0</v>
      </c>
    </row>
    <row r="62" spans="1:15" x14ac:dyDescent="0.3">
      <c r="A62" s="359"/>
      <c r="B62" s="360"/>
      <c r="C62" s="360"/>
      <c r="D62" s="360"/>
      <c r="E62" s="361"/>
      <c r="F62" s="361"/>
      <c r="G62" s="362"/>
      <c r="H62" s="362"/>
      <c r="I62" s="363"/>
      <c r="J62" s="363"/>
      <c r="K62" s="364"/>
      <c r="L62" s="364"/>
      <c r="M62" s="137">
        <f t="shared" si="0"/>
        <v>0</v>
      </c>
      <c r="N62" s="137">
        <f t="shared" si="1"/>
        <v>0</v>
      </c>
      <c r="O62" s="132">
        <f t="shared" si="2"/>
        <v>0</v>
      </c>
    </row>
    <row r="63" spans="1:15" x14ac:dyDescent="0.3">
      <c r="A63" s="359"/>
      <c r="B63" s="360"/>
      <c r="C63" s="360"/>
      <c r="D63" s="360"/>
      <c r="E63" s="361"/>
      <c r="F63" s="361"/>
      <c r="G63" s="362"/>
      <c r="H63" s="362"/>
      <c r="I63" s="363"/>
      <c r="J63" s="363"/>
      <c r="K63" s="364"/>
      <c r="L63" s="364"/>
      <c r="M63" s="137">
        <f t="shared" si="0"/>
        <v>0</v>
      </c>
      <c r="N63" s="137">
        <f t="shared" si="1"/>
        <v>0</v>
      </c>
      <c r="O63" s="132">
        <f t="shared" si="2"/>
        <v>0</v>
      </c>
    </row>
    <row r="64" spans="1:15" x14ac:dyDescent="0.3">
      <c r="A64" s="359"/>
      <c r="B64" s="360"/>
      <c r="C64" s="360"/>
      <c r="D64" s="360"/>
      <c r="E64" s="361"/>
      <c r="F64" s="361"/>
      <c r="G64" s="362"/>
      <c r="H64" s="362"/>
      <c r="I64" s="363"/>
      <c r="J64" s="363"/>
      <c r="K64" s="364"/>
      <c r="L64" s="364"/>
      <c r="M64" s="137">
        <f t="shared" si="0"/>
        <v>0</v>
      </c>
      <c r="N64" s="137">
        <f t="shared" si="1"/>
        <v>0</v>
      </c>
      <c r="O64" s="132">
        <f t="shared" si="2"/>
        <v>0</v>
      </c>
    </row>
    <row r="65" spans="1:15" x14ac:dyDescent="0.3">
      <c r="A65" s="359"/>
      <c r="B65" s="360"/>
      <c r="C65" s="360"/>
      <c r="D65" s="360"/>
      <c r="E65" s="361"/>
      <c r="F65" s="361"/>
      <c r="G65" s="362"/>
      <c r="H65" s="362"/>
      <c r="I65" s="363"/>
      <c r="J65" s="363"/>
      <c r="K65" s="364"/>
      <c r="L65" s="364"/>
      <c r="M65" s="137">
        <f t="shared" si="0"/>
        <v>0</v>
      </c>
      <c r="N65" s="137">
        <f t="shared" si="1"/>
        <v>0</v>
      </c>
      <c r="O65" s="132">
        <f t="shared" si="2"/>
        <v>0</v>
      </c>
    </row>
    <row r="66" spans="1:15" x14ac:dyDescent="0.3">
      <c r="A66" s="359"/>
      <c r="B66" s="360"/>
      <c r="C66" s="360"/>
      <c r="D66" s="360"/>
      <c r="E66" s="361"/>
      <c r="F66" s="361"/>
      <c r="G66" s="362"/>
      <c r="H66" s="362"/>
      <c r="I66" s="363"/>
      <c r="J66" s="363"/>
      <c r="K66" s="364"/>
      <c r="L66" s="364"/>
      <c r="M66" s="137">
        <f t="shared" si="0"/>
        <v>0</v>
      </c>
      <c r="N66" s="137">
        <f t="shared" si="1"/>
        <v>0</v>
      </c>
      <c r="O66" s="132">
        <f t="shared" si="2"/>
        <v>0</v>
      </c>
    </row>
    <row r="67" spans="1:15" x14ac:dyDescent="0.3">
      <c r="A67" s="359"/>
      <c r="B67" s="360"/>
      <c r="C67" s="360"/>
      <c r="D67" s="360"/>
      <c r="E67" s="361"/>
      <c r="F67" s="361"/>
      <c r="G67" s="362"/>
      <c r="H67" s="362"/>
      <c r="I67" s="363"/>
      <c r="J67" s="363"/>
      <c r="K67" s="364"/>
      <c r="L67" s="364"/>
      <c r="M67" s="137">
        <f t="shared" si="0"/>
        <v>0</v>
      </c>
      <c r="N67" s="137">
        <f t="shared" si="1"/>
        <v>0</v>
      </c>
      <c r="O67" s="132">
        <f t="shared" si="2"/>
        <v>0</v>
      </c>
    </row>
    <row r="68" spans="1:15" x14ac:dyDescent="0.3">
      <c r="A68" s="359"/>
      <c r="B68" s="360"/>
      <c r="C68" s="360"/>
      <c r="D68" s="360"/>
      <c r="E68" s="361"/>
      <c r="F68" s="361"/>
      <c r="G68" s="362"/>
      <c r="H68" s="362"/>
      <c r="I68" s="363"/>
      <c r="J68" s="363"/>
      <c r="K68" s="364"/>
      <c r="L68" s="364"/>
      <c r="M68" s="137">
        <f t="shared" si="0"/>
        <v>0</v>
      </c>
      <c r="N68" s="137">
        <f t="shared" si="1"/>
        <v>0</v>
      </c>
      <c r="O68" s="132">
        <f t="shared" si="2"/>
        <v>0</v>
      </c>
    </row>
    <row r="69" spans="1:15" x14ac:dyDescent="0.3">
      <c r="A69" s="359"/>
      <c r="B69" s="360"/>
      <c r="C69" s="360"/>
      <c r="D69" s="360"/>
      <c r="E69" s="361"/>
      <c r="F69" s="361"/>
      <c r="G69" s="362"/>
      <c r="H69" s="362"/>
      <c r="I69" s="363"/>
      <c r="J69" s="363"/>
      <c r="K69" s="364"/>
      <c r="L69" s="364"/>
      <c r="M69" s="137">
        <f t="shared" ref="M69:M132" si="3">SUM(E69+G69+I69+K69)</f>
        <v>0</v>
      </c>
      <c r="N69" s="137">
        <f t="shared" ref="N69:N132" si="4">SUM(F69+H69+J69+L69)</f>
        <v>0</v>
      </c>
      <c r="O69" s="132">
        <f t="shared" si="2"/>
        <v>0</v>
      </c>
    </row>
    <row r="70" spans="1:15" x14ac:dyDescent="0.3">
      <c r="A70" s="359"/>
      <c r="B70" s="360"/>
      <c r="C70" s="360"/>
      <c r="D70" s="360"/>
      <c r="E70" s="361"/>
      <c r="F70" s="361"/>
      <c r="G70" s="362"/>
      <c r="H70" s="362"/>
      <c r="I70" s="363"/>
      <c r="J70" s="363"/>
      <c r="K70" s="364"/>
      <c r="L70" s="364"/>
      <c r="M70" s="137">
        <f t="shared" si="3"/>
        <v>0</v>
      </c>
      <c r="N70" s="137">
        <f t="shared" si="4"/>
        <v>0</v>
      </c>
      <c r="O70" s="132">
        <f t="shared" si="2"/>
        <v>0</v>
      </c>
    </row>
    <row r="71" spans="1:15" x14ac:dyDescent="0.3">
      <c r="A71" s="359"/>
      <c r="B71" s="360"/>
      <c r="C71" s="360"/>
      <c r="D71" s="360"/>
      <c r="E71" s="361"/>
      <c r="F71" s="361"/>
      <c r="G71" s="362"/>
      <c r="H71" s="362"/>
      <c r="I71" s="363"/>
      <c r="J71" s="363"/>
      <c r="K71" s="364"/>
      <c r="L71" s="364"/>
      <c r="M71" s="137">
        <f t="shared" si="3"/>
        <v>0</v>
      </c>
      <c r="N71" s="137">
        <f t="shared" si="4"/>
        <v>0</v>
      </c>
      <c r="O71" s="132">
        <f t="shared" si="2"/>
        <v>0</v>
      </c>
    </row>
    <row r="72" spans="1:15" x14ac:dyDescent="0.3">
      <c r="A72" s="359"/>
      <c r="B72" s="360"/>
      <c r="C72" s="360"/>
      <c r="D72" s="360"/>
      <c r="E72" s="361"/>
      <c r="F72" s="361"/>
      <c r="G72" s="362"/>
      <c r="H72" s="362"/>
      <c r="I72" s="363"/>
      <c r="J72" s="363"/>
      <c r="K72" s="364"/>
      <c r="L72" s="364"/>
      <c r="M72" s="137">
        <f t="shared" si="3"/>
        <v>0</v>
      </c>
      <c r="N72" s="137">
        <f t="shared" si="4"/>
        <v>0</v>
      </c>
      <c r="O72" s="132">
        <f t="shared" si="2"/>
        <v>0</v>
      </c>
    </row>
    <row r="73" spans="1:15" x14ac:dyDescent="0.3">
      <c r="A73" s="359"/>
      <c r="B73" s="360"/>
      <c r="C73" s="360"/>
      <c r="D73" s="360"/>
      <c r="E73" s="361"/>
      <c r="F73" s="361"/>
      <c r="G73" s="362"/>
      <c r="H73" s="362"/>
      <c r="I73" s="363"/>
      <c r="J73" s="363"/>
      <c r="K73" s="364"/>
      <c r="L73" s="364"/>
      <c r="M73" s="137">
        <f t="shared" si="3"/>
        <v>0</v>
      </c>
      <c r="N73" s="137">
        <f t="shared" si="4"/>
        <v>0</v>
      </c>
      <c r="O73" s="132">
        <f t="shared" si="2"/>
        <v>0</v>
      </c>
    </row>
    <row r="74" spans="1:15" x14ac:dyDescent="0.3">
      <c r="A74" s="365"/>
      <c r="B74" s="365"/>
      <c r="C74" s="366"/>
      <c r="D74" s="367"/>
      <c r="E74" s="368"/>
      <c r="F74" s="368"/>
      <c r="G74" s="369"/>
      <c r="H74" s="369"/>
      <c r="I74" s="370"/>
      <c r="J74" s="370"/>
      <c r="K74" s="371"/>
      <c r="L74" s="371"/>
      <c r="M74" s="137">
        <f t="shared" si="3"/>
        <v>0</v>
      </c>
      <c r="N74" s="137">
        <f t="shared" si="4"/>
        <v>0</v>
      </c>
      <c r="O74" s="132">
        <f t="shared" si="2"/>
        <v>0</v>
      </c>
    </row>
    <row r="75" spans="1:15" x14ac:dyDescent="0.3">
      <c r="A75" s="365"/>
      <c r="B75" s="365"/>
      <c r="C75" s="366"/>
      <c r="D75" s="367"/>
      <c r="E75" s="368"/>
      <c r="F75" s="368"/>
      <c r="G75" s="369"/>
      <c r="H75" s="369"/>
      <c r="I75" s="370"/>
      <c r="J75" s="370"/>
      <c r="K75" s="371"/>
      <c r="L75" s="371"/>
      <c r="M75" s="137">
        <f t="shared" si="3"/>
        <v>0</v>
      </c>
      <c r="N75" s="137">
        <f t="shared" si="4"/>
        <v>0</v>
      </c>
      <c r="O75" s="132">
        <f t="shared" si="2"/>
        <v>0</v>
      </c>
    </row>
    <row r="76" spans="1:15" x14ac:dyDescent="0.3">
      <c r="A76" s="365"/>
      <c r="B76" s="365"/>
      <c r="C76" s="366"/>
      <c r="D76" s="367"/>
      <c r="E76" s="368"/>
      <c r="F76" s="368"/>
      <c r="G76" s="369"/>
      <c r="H76" s="369"/>
      <c r="I76" s="370"/>
      <c r="J76" s="370"/>
      <c r="K76" s="371"/>
      <c r="L76" s="371"/>
      <c r="M76" s="137">
        <f t="shared" si="3"/>
        <v>0</v>
      </c>
      <c r="N76" s="137">
        <f t="shared" si="4"/>
        <v>0</v>
      </c>
      <c r="O76" s="132">
        <f t="shared" ref="O76:O139" si="5">SUM(M76+N76)</f>
        <v>0</v>
      </c>
    </row>
    <row r="77" spans="1:15" x14ac:dyDescent="0.3">
      <c r="A77" s="365"/>
      <c r="B77" s="365"/>
      <c r="C77" s="366"/>
      <c r="D77" s="367"/>
      <c r="E77" s="368"/>
      <c r="F77" s="368"/>
      <c r="G77" s="369"/>
      <c r="H77" s="369"/>
      <c r="I77" s="370"/>
      <c r="J77" s="370"/>
      <c r="K77" s="371"/>
      <c r="L77" s="371"/>
      <c r="M77" s="137">
        <f t="shared" si="3"/>
        <v>0</v>
      </c>
      <c r="N77" s="137">
        <f t="shared" si="4"/>
        <v>0</v>
      </c>
      <c r="O77" s="132">
        <f t="shared" si="5"/>
        <v>0</v>
      </c>
    </row>
    <row r="78" spans="1:15" x14ac:dyDescent="0.3">
      <c r="A78" s="365"/>
      <c r="B78" s="365"/>
      <c r="C78" s="366"/>
      <c r="D78" s="367"/>
      <c r="E78" s="368"/>
      <c r="F78" s="368"/>
      <c r="G78" s="369"/>
      <c r="H78" s="369"/>
      <c r="I78" s="370"/>
      <c r="J78" s="370"/>
      <c r="K78" s="371"/>
      <c r="L78" s="371"/>
      <c r="M78" s="137">
        <f t="shared" si="3"/>
        <v>0</v>
      </c>
      <c r="N78" s="137">
        <f t="shared" si="4"/>
        <v>0</v>
      </c>
      <c r="O78" s="132">
        <f t="shared" si="5"/>
        <v>0</v>
      </c>
    </row>
    <row r="79" spans="1:15" x14ac:dyDescent="0.3">
      <c r="A79" s="365"/>
      <c r="B79" s="365"/>
      <c r="C79" s="366"/>
      <c r="D79" s="367"/>
      <c r="E79" s="368"/>
      <c r="F79" s="368"/>
      <c r="G79" s="369"/>
      <c r="H79" s="369"/>
      <c r="I79" s="370"/>
      <c r="J79" s="370"/>
      <c r="K79" s="371"/>
      <c r="L79" s="371"/>
      <c r="M79" s="137">
        <f t="shared" si="3"/>
        <v>0</v>
      </c>
      <c r="N79" s="137">
        <f t="shared" si="4"/>
        <v>0</v>
      </c>
      <c r="O79" s="132">
        <f t="shared" si="5"/>
        <v>0</v>
      </c>
    </row>
    <row r="80" spans="1:15" x14ac:dyDescent="0.3">
      <c r="A80" s="365"/>
      <c r="B80" s="365"/>
      <c r="C80" s="366"/>
      <c r="D80" s="367"/>
      <c r="E80" s="368"/>
      <c r="F80" s="368"/>
      <c r="G80" s="369"/>
      <c r="H80" s="369"/>
      <c r="I80" s="370"/>
      <c r="J80" s="370"/>
      <c r="K80" s="371"/>
      <c r="L80" s="371"/>
      <c r="M80" s="137">
        <f t="shared" si="3"/>
        <v>0</v>
      </c>
      <c r="N80" s="137">
        <f t="shared" si="4"/>
        <v>0</v>
      </c>
      <c r="O80" s="132">
        <f t="shared" si="5"/>
        <v>0</v>
      </c>
    </row>
    <row r="81" spans="1:15" x14ac:dyDescent="0.3">
      <c r="A81" s="365"/>
      <c r="B81" s="365"/>
      <c r="C81" s="366"/>
      <c r="D81" s="367"/>
      <c r="E81" s="368"/>
      <c r="F81" s="368"/>
      <c r="G81" s="369"/>
      <c r="H81" s="369"/>
      <c r="I81" s="370"/>
      <c r="J81" s="370"/>
      <c r="K81" s="371"/>
      <c r="L81" s="371"/>
      <c r="M81" s="137">
        <f t="shared" si="3"/>
        <v>0</v>
      </c>
      <c r="N81" s="137">
        <f t="shared" si="4"/>
        <v>0</v>
      </c>
      <c r="O81" s="132">
        <f t="shared" si="5"/>
        <v>0</v>
      </c>
    </row>
    <row r="82" spans="1:15" x14ac:dyDescent="0.3">
      <c r="A82" s="365"/>
      <c r="B82" s="365"/>
      <c r="C82" s="366"/>
      <c r="D82" s="367"/>
      <c r="E82" s="368"/>
      <c r="F82" s="368"/>
      <c r="G82" s="369"/>
      <c r="H82" s="369"/>
      <c r="I82" s="370"/>
      <c r="J82" s="370"/>
      <c r="K82" s="371"/>
      <c r="L82" s="371"/>
      <c r="M82" s="137">
        <f t="shared" si="3"/>
        <v>0</v>
      </c>
      <c r="N82" s="137">
        <f t="shared" si="4"/>
        <v>0</v>
      </c>
      <c r="O82" s="132">
        <f t="shared" si="5"/>
        <v>0</v>
      </c>
    </row>
    <row r="83" spans="1:15" x14ac:dyDescent="0.3">
      <c r="A83" s="365"/>
      <c r="B83" s="365"/>
      <c r="C83" s="366"/>
      <c r="D83" s="367"/>
      <c r="E83" s="368"/>
      <c r="F83" s="368"/>
      <c r="G83" s="369"/>
      <c r="H83" s="369"/>
      <c r="I83" s="370"/>
      <c r="J83" s="370"/>
      <c r="K83" s="371"/>
      <c r="L83" s="371"/>
      <c r="M83" s="137">
        <f t="shared" si="3"/>
        <v>0</v>
      </c>
      <c r="N83" s="137">
        <f t="shared" si="4"/>
        <v>0</v>
      </c>
      <c r="O83" s="132">
        <f t="shared" si="5"/>
        <v>0</v>
      </c>
    </row>
    <row r="84" spans="1:15" x14ac:dyDescent="0.3">
      <c r="A84" s="365"/>
      <c r="B84" s="365"/>
      <c r="C84" s="366"/>
      <c r="D84" s="367"/>
      <c r="E84" s="368"/>
      <c r="F84" s="368"/>
      <c r="G84" s="369"/>
      <c r="H84" s="369"/>
      <c r="I84" s="370"/>
      <c r="J84" s="370"/>
      <c r="K84" s="371"/>
      <c r="L84" s="371"/>
      <c r="M84" s="137">
        <f t="shared" si="3"/>
        <v>0</v>
      </c>
      <c r="N84" s="137">
        <f t="shared" si="4"/>
        <v>0</v>
      </c>
      <c r="O84" s="132">
        <f t="shared" si="5"/>
        <v>0</v>
      </c>
    </row>
    <row r="85" spans="1:15" x14ac:dyDescent="0.3">
      <c r="A85" s="365"/>
      <c r="B85" s="365"/>
      <c r="C85" s="366"/>
      <c r="D85" s="367"/>
      <c r="E85" s="368"/>
      <c r="F85" s="368"/>
      <c r="G85" s="369"/>
      <c r="H85" s="369"/>
      <c r="I85" s="370"/>
      <c r="J85" s="370"/>
      <c r="K85" s="371"/>
      <c r="L85" s="371"/>
      <c r="M85" s="137">
        <f t="shared" si="3"/>
        <v>0</v>
      </c>
      <c r="N85" s="137">
        <f t="shared" si="4"/>
        <v>0</v>
      </c>
      <c r="O85" s="132">
        <f t="shared" si="5"/>
        <v>0</v>
      </c>
    </row>
    <row r="86" spans="1:15" x14ac:dyDescent="0.3">
      <c r="A86" s="365"/>
      <c r="B86" s="365"/>
      <c r="C86" s="366"/>
      <c r="D86" s="367"/>
      <c r="E86" s="368"/>
      <c r="F86" s="368"/>
      <c r="G86" s="369"/>
      <c r="H86" s="369"/>
      <c r="I86" s="370"/>
      <c r="J86" s="370"/>
      <c r="K86" s="371"/>
      <c r="L86" s="371"/>
      <c r="M86" s="137">
        <f t="shared" si="3"/>
        <v>0</v>
      </c>
      <c r="N86" s="137">
        <f t="shared" si="4"/>
        <v>0</v>
      </c>
      <c r="O86" s="132">
        <f t="shared" si="5"/>
        <v>0</v>
      </c>
    </row>
    <row r="87" spans="1:15" x14ac:dyDescent="0.3">
      <c r="A87" s="365"/>
      <c r="B87" s="365"/>
      <c r="C87" s="366"/>
      <c r="D87" s="367"/>
      <c r="E87" s="368"/>
      <c r="F87" s="368"/>
      <c r="G87" s="369"/>
      <c r="H87" s="369"/>
      <c r="I87" s="370"/>
      <c r="J87" s="370"/>
      <c r="K87" s="371"/>
      <c r="L87" s="371"/>
      <c r="M87" s="137">
        <f t="shared" si="3"/>
        <v>0</v>
      </c>
      <c r="N87" s="137">
        <f t="shared" si="4"/>
        <v>0</v>
      </c>
      <c r="O87" s="132">
        <f t="shared" si="5"/>
        <v>0</v>
      </c>
    </row>
    <row r="88" spans="1:15" x14ac:dyDescent="0.3">
      <c r="A88" s="365"/>
      <c r="B88" s="365"/>
      <c r="C88" s="366"/>
      <c r="D88" s="367"/>
      <c r="E88" s="368"/>
      <c r="F88" s="368"/>
      <c r="G88" s="369"/>
      <c r="H88" s="369"/>
      <c r="I88" s="370"/>
      <c r="J88" s="370"/>
      <c r="K88" s="371"/>
      <c r="L88" s="371"/>
      <c r="M88" s="137">
        <f t="shared" si="3"/>
        <v>0</v>
      </c>
      <c r="N88" s="137">
        <f t="shared" si="4"/>
        <v>0</v>
      </c>
      <c r="O88" s="132">
        <f t="shared" si="5"/>
        <v>0</v>
      </c>
    </row>
    <row r="89" spans="1:15" x14ac:dyDescent="0.3">
      <c r="A89" s="365"/>
      <c r="B89" s="365"/>
      <c r="C89" s="366"/>
      <c r="D89" s="367"/>
      <c r="E89" s="368"/>
      <c r="F89" s="368"/>
      <c r="G89" s="369"/>
      <c r="H89" s="369"/>
      <c r="I89" s="370"/>
      <c r="J89" s="370"/>
      <c r="K89" s="371"/>
      <c r="L89" s="371"/>
      <c r="M89" s="137">
        <f t="shared" si="3"/>
        <v>0</v>
      </c>
      <c r="N89" s="137">
        <f t="shared" si="4"/>
        <v>0</v>
      </c>
      <c r="O89" s="132">
        <f t="shared" si="5"/>
        <v>0</v>
      </c>
    </row>
    <row r="90" spans="1:15" x14ac:dyDescent="0.3">
      <c r="A90" s="365"/>
      <c r="B90" s="365"/>
      <c r="C90" s="366"/>
      <c r="D90" s="367"/>
      <c r="E90" s="368"/>
      <c r="F90" s="368"/>
      <c r="G90" s="369"/>
      <c r="H90" s="369"/>
      <c r="I90" s="370"/>
      <c r="J90" s="370"/>
      <c r="K90" s="371"/>
      <c r="L90" s="371"/>
      <c r="M90" s="137">
        <f t="shared" si="3"/>
        <v>0</v>
      </c>
      <c r="N90" s="137">
        <f t="shared" si="4"/>
        <v>0</v>
      </c>
      <c r="O90" s="132">
        <f t="shared" si="5"/>
        <v>0</v>
      </c>
    </row>
    <row r="91" spans="1:15" x14ac:dyDescent="0.3">
      <c r="A91" s="365"/>
      <c r="B91" s="365"/>
      <c r="C91" s="366"/>
      <c r="D91" s="367"/>
      <c r="E91" s="368"/>
      <c r="F91" s="368"/>
      <c r="G91" s="369"/>
      <c r="H91" s="369"/>
      <c r="I91" s="370"/>
      <c r="J91" s="370"/>
      <c r="K91" s="371"/>
      <c r="L91" s="371"/>
      <c r="M91" s="137">
        <f t="shared" si="3"/>
        <v>0</v>
      </c>
      <c r="N91" s="137">
        <f t="shared" si="4"/>
        <v>0</v>
      </c>
      <c r="O91" s="132">
        <f t="shared" si="5"/>
        <v>0</v>
      </c>
    </row>
    <row r="92" spans="1:15" x14ac:dyDescent="0.3">
      <c r="A92" s="365"/>
      <c r="B92" s="365"/>
      <c r="C92" s="366"/>
      <c r="D92" s="367"/>
      <c r="E92" s="368"/>
      <c r="F92" s="368"/>
      <c r="G92" s="369"/>
      <c r="H92" s="369"/>
      <c r="I92" s="370"/>
      <c r="J92" s="370"/>
      <c r="K92" s="371"/>
      <c r="L92" s="371"/>
      <c r="M92" s="137">
        <f t="shared" si="3"/>
        <v>0</v>
      </c>
      <c r="N92" s="137">
        <f t="shared" si="4"/>
        <v>0</v>
      </c>
      <c r="O92" s="132">
        <f t="shared" si="5"/>
        <v>0</v>
      </c>
    </row>
    <row r="93" spans="1:15" x14ac:dyDescent="0.3">
      <c r="A93" s="365"/>
      <c r="B93" s="365"/>
      <c r="C93" s="366"/>
      <c r="D93" s="367"/>
      <c r="E93" s="368"/>
      <c r="F93" s="368"/>
      <c r="G93" s="369"/>
      <c r="H93" s="369"/>
      <c r="I93" s="370"/>
      <c r="J93" s="370"/>
      <c r="K93" s="371"/>
      <c r="L93" s="371"/>
      <c r="M93" s="137">
        <f t="shared" si="3"/>
        <v>0</v>
      </c>
      <c r="N93" s="137">
        <f t="shared" si="4"/>
        <v>0</v>
      </c>
      <c r="O93" s="132">
        <f t="shared" si="5"/>
        <v>0</v>
      </c>
    </row>
    <row r="94" spans="1:15" x14ac:dyDescent="0.3">
      <c r="A94" s="365"/>
      <c r="B94" s="365"/>
      <c r="C94" s="366"/>
      <c r="D94" s="367"/>
      <c r="E94" s="368"/>
      <c r="F94" s="368"/>
      <c r="G94" s="369"/>
      <c r="H94" s="369"/>
      <c r="I94" s="370"/>
      <c r="J94" s="370"/>
      <c r="K94" s="371"/>
      <c r="L94" s="371"/>
      <c r="M94" s="137">
        <f t="shared" si="3"/>
        <v>0</v>
      </c>
      <c r="N94" s="137">
        <f t="shared" si="4"/>
        <v>0</v>
      </c>
      <c r="O94" s="132">
        <f t="shared" si="5"/>
        <v>0</v>
      </c>
    </row>
    <row r="95" spans="1:15" x14ac:dyDescent="0.3">
      <c r="A95" s="365"/>
      <c r="B95" s="365"/>
      <c r="C95" s="366"/>
      <c r="D95" s="367"/>
      <c r="E95" s="368"/>
      <c r="F95" s="368"/>
      <c r="G95" s="369"/>
      <c r="H95" s="369"/>
      <c r="I95" s="370"/>
      <c r="J95" s="370"/>
      <c r="K95" s="371"/>
      <c r="L95" s="371"/>
      <c r="M95" s="137">
        <f t="shared" si="3"/>
        <v>0</v>
      </c>
      <c r="N95" s="137">
        <f t="shared" si="4"/>
        <v>0</v>
      </c>
      <c r="O95" s="132">
        <f t="shared" si="5"/>
        <v>0</v>
      </c>
    </row>
    <row r="96" spans="1:15" x14ac:dyDescent="0.3">
      <c r="A96" s="365"/>
      <c r="B96" s="365"/>
      <c r="C96" s="366"/>
      <c r="D96" s="367"/>
      <c r="E96" s="368"/>
      <c r="F96" s="368"/>
      <c r="G96" s="369"/>
      <c r="H96" s="369"/>
      <c r="I96" s="370"/>
      <c r="J96" s="370"/>
      <c r="K96" s="371"/>
      <c r="L96" s="371"/>
      <c r="M96" s="137">
        <f t="shared" si="3"/>
        <v>0</v>
      </c>
      <c r="N96" s="137">
        <f t="shared" si="4"/>
        <v>0</v>
      </c>
      <c r="O96" s="132">
        <f t="shared" si="5"/>
        <v>0</v>
      </c>
    </row>
    <row r="97" spans="1:15" x14ac:dyDescent="0.3">
      <c r="A97" s="365"/>
      <c r="B97" s="365"/>
      <c r="C97" s="366"/>
      <c r="D97" s="367"/>
      <c r="E97" s="368"/>
      <c r="F97" s="368"/>
      <c r="G97" s="369"/>
      <c r="H97" s="369"/>
      <c r="I97" s="370"/>
      <c r="J97" s="370"/>
      <c r="K97" s="371"/>
      <c r="L97" s="371"/>
      <c r="M97" s="137">
        <f t="shared" si="3"/>
        <v>0</v>
      </c>
      <c r="N97" s="137">
        <f t="shared" si="4"/>
        <v>0</v>
      </c>
      <c r="O97" s="132">
        <f t="shared" si="5"/>
        <v>0</v>
      </c>
    </row>
    <row r="98" spans="1:15" x14ac:dyDescent="0.3">
      <c r="A98" s="365"/>
      <c r="B98" s="365"/>
      <c r="C98" s="366"/>
      <c r="D98" s="367"/>
      <c r="E98" s="368"/>
      <c r="F98" s="368"/>
      <c r="G98" s="369"/>
      <c r="H98" s="369"/>
      <c r="I98" s="370"/>
      <c r="J98" s="370"/>
      <c r="K98" s="371"/>
      <c r="L98" s="371"/>
      <c r="M98" s="137">
        <f t="shared" si="3"/>
        <v>0</v>
      </c>
      <c r="N98" s="137">
        <f t="shared" si="4"/>
        <v>0</v>
      </c>
      <c r="O98" s="132">
        <f t="shared" si="5"/>
        <v>0</v>
      </c>
    </row>
    <row r="99" spans="1:15" x14ac:dyDescent="0.3">
      <c r="A99" s="365"/>
      <c r="B99" s="365"/>
      <c r="C99" s="366"/>
      <c r="D99" s="367"/>
      <c r="E99" s="368"/>
      <c r="F99" s="368"/>
      <c r="G99" s="369"/>
      <c r="H99" s="369"/>
      <c r="I99" s="370"/>
      <c r="J99" s="370"/>
      <c r="K99" s="371"/>
      <c r="L99" s="371"/>
      <c r="M99" s="137">
        <f t="shared" si="3"/>
        <v>0</v>
      </c>
      <c r="N99" s="137">
        <f t="shared" si="4"/>
        <v>0</v>
      </c>
      <c r="O99" s="132">
        <f t="shared" si="5"/>
        <v>0</v>
      </c>
    </row>
    <row r="100" spans="1:15" x14ac:dyDescent="0.3">
      <c r="A100" s="365"/>
      <c r="B100" s="365"/>
      <c r="C100" s="366"/>
      <c r="D100" s="367"/>
      <c r="E100" s="368"/>
      <c r="F100" s="368"/>
      <c r="G100" s="369"/>
      <c r="H100" s="369"/>
      <c r="I100" s="370"/>
      <c r="J100" s="370"/>
      <c r="K100" s="371"/>
      <c r="L100" s="371"/>
      <c r="M100" s="137">
        <f t="shared" si="3"/>
        <v>0</v>
      </c>
      <c r="N100" s="137">
        <f t="shared" si="4"/>
        <v>0</v>
      </c>
      <c r="O100" s="132">
        <f t="shared" si="5"/>
        <v>0</v>
      </c>
    </row>
    <row r="101" spans="1:15" x14ac:dyDescent="0.3">
      <c r="A101" s="365"/>
      <c r="B101" s="365"/>
      <c r="C101" s="366"/>
      <c r="D101" s="367"/>
      <c r="E101" s="368"/>
      <c r="F101" s="368"/>
      <c r="G101" s="369"/>
      <c r="H101" s="369"/>
      <c r="I101" s="370"/>
      <c r="J101" s="370"/>
      <c r="K101" s="371"/>
      <c r="L101" s="371"/>
      <c r="M101" s="137">
        <f t="shared" si="3"/>
        <v>0</v>
      </c>
      <c r="N101" s="137">
        <f t="shared" si="4"/>
        <v>0</v>
      </c>
      <c r="O101" s="132">
        <f t="shared" si="5"/>
        <v>0</v>
      </c>
    </row>
    <row r="102" spans="1:15" x14ac:dyDescent="0.3">
      <c r="A102" s="365"/>
      <c r="B102" s="365"/>
      <c r="C102" s="366"/>
      <c r="D102" s="367"/>
      <c r="E102" s="368"/>
      <c r="F102" s="368"/>
      <c r="G102" s="369"/>
      <c r="H102" s="369"/>
      <c r="I102" s="370"/>
      <c r="J102" s="370"/>
      <c r="K102" s="371"/>
      <c r="L102" s="371"/>
      <c r="M102" s="137">
        <f t="shared" si="3"/>
        <v>0</v>
      </c>
      <c r="N102" s="137">
        <f t="shared" si="4"/>
        <v>0</v>
      </c>
      <c r="O102" s="132">
        <f t="shared" si="5"/>
        <v>0</v>
      </c>
    </row>
    <row r="103" spans="1:15" x14ac:dyDescent="0.3">
      <c r="A103" s="365"/>
      <c r="B103" s="365"/>
      <c r="C103" s="366"/>
      <c r="D103" s="367"/>
      <c r="E103" s="368"/>
      <c r="F103" s="368"/>
      <c r="G103" s="369"/>
      <c r="H103" s="369"/>
      <c r="I103" s="370"/>
      <c r="J103" s="370"/>
      <c r="K103" s="371"/>
      <c r="L103" s="371"/>
      <c r="M103" s="137">
        <f t="shared" si="3"/>
        <v>0</v>
      </c>
      <c r="N103" s="137">
        <f t="shared" si="4"/>
        <v>0</v>
      </c>
      <c r="O103" s="132">
        <f t="shared" si="5"/>
        <v>0</v>
      </c>
    </row>
    <row r="104" spans="1:15" x14ac:dyDescent="0.3">
      <c r="A104" s="365"/>
      <c r="B104" s="365"/>
      <c r="C104" s="366"/>
      <c r="D104" s="367"/>
      <c r="E104" s="368"/>
      <c r="F104" s="368"/>
      <c r="G104" s="369"/>
      <c r="H104" s="369"/>
      <c r="I104" s="370"/>
      <c r="J104" s="370"/>
      <c r="K104" s="371"/>
      <c r="L104" s="371"/>
      <c r="M104" s="137">
        <f t="shared" si="3"/>
        <v>0</v>
      </c>
      <c r="N104" s="137">
        <f t="shared" si="4"/>
        <v>0</v>
      </c>
      <c r="O104" s="132">
        <f t="shared" si="5"/>
        <v>0</v>
      </c>
    </row>
    <row r="105" spans="1:15" x14ac:dyDescent="0.3">
      <c r="A105" s="365"/>
      <c r="B105" s="365"/>
      <c r="C105" s="366"/>
      <c r="D105" s="367"/>
      <c r="E105" s="368"/>
      <c r="F105" s="368"/>
      <c r="G105" s="369"/>
      <c r="H105" s="369"/>
      <c r="I105" s="370"/>
      <c r="J105" s="370"/>
      <c r="K105" s="371"/>
      <c r="L105" s="371"/>
      <c r="M105" s="137">
        <f t="shared" si="3"/>
        <v>0</v>
      </c>
      <c r="N105" s="137">
        <f t="shared" si="4"/>
        <v>0</v>
      </c>
      <c r="O105" s="132">
        <f t="shared" si="5"/>
        <v>0</v>
      </c>
    </row>
    <row r="106" spans="1:15" x14ac:dyDescent="0.3">
      <c r="A106" s="365"/>
      <c r="B106" s="365"/>
      <c r="C106" s="366"/>
      <c r="D106" s="367"/>
      <c r="E106" s="368"/>
      <c r="F106" s="368"/>
      <c r="G106" s="369"/>
      <c r="H106" s="369"/>
      <c r="I106" s="370"/>
      <c r="J106" s="370"/>
      <c r="K106" s="371"/>
      <c r="L106" s="371"/>
      <c r="M106" s="137">
        <f t="shared" si="3"/>
        <v>0</v>
      </c>
      <c r="N106" s="137">
        <f t="shared" si="4"/>
        <v>0</v>
      </c>
      <c r="O106" s="132">
        <f t="shared" si="5"/>
        <v>0</v>
      </c>
    </row>
    <row r="107" spans="1:15" x14ac:dyDescent="0.3">
      <c r="A107" s="365"/>
      <c r="B107" s="365"/>
      <c r="C107" s="366"/>
      <c r="D107" s="367"/>
      <c r="E107" s="368"/>
      <c r="F107" s="368"/>
      <c r="G107" s="369"/>
      <c r="H107" s="369"/>
      <c r="I107" s="370"/>
      <c r="J107" s="370"/>
      <c r="K107" s="371"/>
      <c r="L107" s="371"/>
      <c r="M107" s="137">
        <f t="shared" si="3"/>
        <v>0</v>
      </c>
      <c r="N107" s="137">
        <f t="shared" si="4"/>
        <v>0</v>
      </c>
      <c r="O107" s="132">
        <f t="shared" si="5"/>
        <v>0</v>
      </c>
    </row>
    <row r="108" spans="1:15" x14ac:dyDescent="0.3">
      <c r="A108" s="365"/>
      <c r="B108" s="365"/>
      <c r="C108" s="366"/>
      <c r="D108" s="367"/>
      <c r="E108" s="368"/>
      <c r="F108" s="368"/>
      <c r="G108" s="369"/>
      <c r="H108" s="369"/>
      <c r="I108" s="370"/>
      <c r="J108" s="370"/>
      <c r="K108" s="371"/>
      <c r="L108" s="371"/>
      <c r="M108" s="137">
        <f t="shared" si="3"/>
        <v>0</v>
      </c>
      <c r="N108" s="137">
        <f t="shared" si="4"/>
        <v>0</v>
      </c>
      <c r="O108" s="132">
        <f t="shared" si="5"/>
        <v>0</v>
      </c>
    </row>
    <row r="109" spans="1:15" x14ac:dyDescent="0.3">
      <c r="A109" s="365"/>
      <c r="B109" s="365"/>
      <c r="C109" s="366"/>
      <c r="D109" s="367"/>
      <c r="E109" s="368"/>
      <c r="F109" s="368"/>
      <c r="G109" s="369"/>
      <c r="H109" s="369"/>
      <c r="I109" s="370"/>
      <c r="J109" s="370"/>
      <c r="K109" s="371"/>
      <c r="L109" s="371"/>
      <c r="M109" s="137">
        <f t="shared" si="3"/>
        <v>0</v>
      </c>
      <c r="N109" s="137">
        <f t="shared" si="4"/>
        <v>0</v>
      </c>
      <c r="O109" s="132">
        <f t="shared" si="5"/>
        <v>0</v>
      </c>
    </row>
    <row r="110" spans="1:15" x14ac:dyDescent="0.3">
      <c r="A110" s="365"/>
      <c r="B110" s="365"/>
      <c r="C110" s="366"/>
      <c r="D110" s="367"/>
      <c r="E110" s="368"/>
      <c r="F110" s="368"/>
      <c r="G110" s="369"/>
      <c r="H110" s="369"/>
      <c r="I110" s="370"/>
      <c r="J110" s="370"/>
      <c r="K110" s="371"/>
      <c r="L110" s="371"/>
      <c r="M110" s="137">
        <f t="shared" si="3"/>
        <v>0</v>
      </c>
      <c r="N110" s="137">
        <f t="shared" si="4"/>
        <v>0</v>
      </c>
      <c r="O110" s="132">
        <f t="shared" si="5"/>
        <v>0</v>
      </c>
    </row>
    <row r="111" spans="1:15" x14ac:dyDescent="0.3">
      <c r="A111" s="365"/>
      <c r="B111" s="365"/>
      <c r="C111" s="366"/>
      <c r="D111" s="367"/>
      <c r="E111" s="368"/>
      <c r="F111" s="368"/>
      <c r="G111" s="369"/>
      <c r="H111" s="369"/>
      <c r="I111" s="370"/>
      <c r="J111" s="370"/>
      <c r="K111" s="371"/>
      <c r="L111" s="371"/>
      <c r="M111" s="137">
        <f t="shared" si="3"/>
        <v>0</v>
      </c>
      <c r="N111" s="137">
        <f t="shared" si="4"/>
        <v>0</v>
      </c>
      <c r="O111" s="132">
        <f t="shared" si="5"/>
        <v>0</v>
      </c>
    </row>
    <row r="112" spans="1:15" x14ac:dyDescent="0.3">
      <c r="A112" s="365"/>
      <c r="B112" s="365"/>
      <c r="C112" s="366"/>
      <c r="D112" s="367"/>
      <c r="E112" s="368"/>
      <c r="F112" s="368"/>
      <c r="G112" s="369"/>
      <c r="H112" s="369"/>
      <c r="I112" s="370"/>
      <c r="J112" s="370"/>
      <c r="K112" s="371"/>
      <c r="L112" s="371"/>
      <c r="M112" s="137">
        <f t="shared" si="3"/>
        <v>0</v>
      </c>
      <c r="N112" s="137">
        <f t="shared" si="4"/>
        <v>0</v>
      </c>
      <c r="O112" s="132">
        <f t="shared" si="5"/>
        <v>0</v>
      </c>
    </row>
    <row r="113" spans="1:15" x14ac:dyDescent="0.3">
      <c r="A113" s="365"/>
      <c r="B113" s="365"/>
      <c r="C113" s="366"/>
      <c r="D113" s="367"/>
      <c r="E113" s="368"/>
      <c r="F113" s="368"/>
      <c r="G113" s="369"/>
      <c r="H113" s="369"/>
      <c r="I113" s="370"/>
      <c r="J113" s="370"/>
      <c r="K113" s="371"/>
      <c r="L113" s="371"/>
      <c r="M113" s="137">
        <f t="shared" si="3"/>
        <v>0</v>
      </c>
      <c r="N113" s="137">
        <f t="shared" si="4"/>
        <v>0</v>
      </c>
      <c r="O113" s="132">
        <f t="shared" si="5"/>
        <v>0</v>
      </c>
    </row>
    <row r="114" spans="1:15" x14ac:dyDescent="0.3">
      <c r="A114" s="365"/>
      <c r="B114" s="365"/>
      <c r="C114" s="366"/>
      <c r="D114" s="367"/>
      <c r="E114" s="368"/>
      <c r="F114" s="368"/>
      <c r="G114" s="369"/>
      <c r="H114" s="369"/>
      <c r="I114" s="370"/>
      <c r="J114" s="370"/>
      <c r="K114" s="371"/>
      <c r="L114" s="371"/>
      <c r="M114" s="137">
        <f t="shared" si="3"/>
        <v>0</v>
      </c>
      <c r="N114" s="137">
        <f t="shared" si="4"/>
        <v>0</v>
      </c>
      <c r="O114" s="132">
        <f t="shared" si="5"/>
        <v>0</v>
      </c>
    </row>
    <row r="115" spans="1:15" x14ac:dyDescent="0.3">
      <c r="A115" s="365"/>
      <c r="B115" s="365"/>
      <c r="C115" s="366"/>
      <c r="D115" s="367"/>
      <c r="E115" s="368"/>
      <c r="F115" s="368"/>
      <c r="G115" s="369"/>
      <c r="H115" s="369"/>
      <c r="I115" s="370"/>
      <c r="J115" s="370"/>
      <c r="K115" s="371"/>
      <c r="L115" s="371"/>
      <c r="M115" s="137">
        <f t="shared" si="3"/>
        <v>0</v>
      </c>
      <c r="N115" s="137">
        <f t="shared" si="4"/>
        <v>0</v>
      </c>
      <c r="O115" s="132">
        <f t="shared" si="5"/>
        <v>0</v>
      </c>
    </row>
    <row r="116" spans="1:15" x14ac:dyDescent="0.3">
      <c r="A116" s="365"/>
      <c r="B116" s="365"/>
      <c r="C116" s="366"/>
      <c r="D116" s="367"/>
      <c r="E116" s="368"/>
      <c r="F116" s="368"/>
      <c r="G116" s="369"/>
      <c r="H116" s="369"/>
      <c r="I116" s="370"/>
      <c r="J116" s="370"/>
      <c r="K116" s="371"/>
      <c r="L116" s="371"/>
      <c r="M116" s="137">
        <f t="shared" si="3"/>
        <v>0</v>
      </c>
      <c r="N116" s="137">
        <f t="shared" si="4"/>
        <v>0</v>
      </c>
      <c r="O116" s="132">
        <f t="shared" si="5"/>
        <v>0</v>
      </c>
    </row>
    <row r="117" spans="1:15" x14ac:dyDescent="0.3">
      <c r="A117" s="365"/>
      <c r="B117" s="365"/>
      <c r="C117" s="366"/>
      <c r="D117" s="367"/>
      <c r="E117" s="368"/>
      <c r="F117" s="368"/>
      <c r="G117" s="369"/>
      <c r="H117" s="369"/>
      <c r="I117" s="370"/>
      <c r="J117" s="370"/>
      <c r="K117" s="371"/>
      <c r="L117" s="371"/>
      <c r="M117" s="137">
        <f t="shared" si="3"/>
        <v>0</v>
      </c>
      <c r="N117" s="137">
        <f t="shared" si="4"/>
        <v>0</v>
      </c>
      <c r="O117" s="132">
        <f t="shared" si="5"/>
        <v>0</v>
      </c>
    </row>
    <row r="118" spans="1:15" x14ac:dyDescent="0.3">
      <c r="A118" s="365"/>
      <c r="B118" s="365"/>
      <c r="C118" s="366"/>
      <c r="D118" s="367"/>
      <c r="E118" s="368"/>
      <c r="F118" s="368"/>
      <c r="G118" s="369"/>
      <c r="H118" s="369"/>
      <c r="I118" s="370"/>
      <c r="J118" s="370"/>
      <c r="K118" s="371"/>
      <c r="L118" s="371"/>
      <c r="M118" s="137">
        <f t="shared" si="3"/>
        <v>0</v>
      </c>
      <c r="N118" s="137">
        <f t="shared" si="4"/>
        <v>0</v>
      </c>
      <c r="O118" s="132">
        <f t="shared" si="5"/>
        <v>0</v>
      </c>
    </row>
    <row r="119" spans="1:15" x14ac:dyDescent="0.3">
      <c r="A119" s="365"/>
      <c r="B119" s="365"/>
      <c r="C119" s="366"/>
      <c r="D119" s="367"/>
      <c r="E119" s="368"/>
      <c r="F119" s="368"/>
      <c r="G119" s="369"/>
      <c r="H119" s="369"/>
      <c r="I119" s="370"/>
      <c r="J119" s="370"/>
      <c r="K119" s="371"/>
      <c r="L119" s="371"/>
      <c r="M119" s="137">
        <f t="shared" si="3"/>
        <v>0</v>
      </c>
      <c r="N119" s="137">
        <f t="shared" si="4"/>
        <v>0</v>
      </c>
      <c r="O119" s="132">
        <f t="shared" si="5"/>
        <v>0</v>
      </c>
    </row>
    <row r="120" spans="1:15" x14ac:dyDescent="0.3">
      <c r="A120" s="365"/>
      <c r="B120" s="365"/>
      <c r="C120" s="366"/>
      <c r="D120" s="367"/>
      <c r="E120" s="368"/>
      <c r="F120" s="368"/>
      <c r="G120" s="369"/>
      <c r="H120" s="369"/>
      <c r="I120" s="370"/>
      <c r="J120" s="370"/>
      <c r="K120" s="371"/>
      <c r="L120" s="371"/>
      <c r="M120" s="137">
        <f t="shared" si="3"/>
        <v>0</v>
      </c>
      <c r="N120" s="137">
        <f t="shared" si="4"/>
        <v>0</v>
      </c>
      <c r="O120" s="132">
        <f t="shared" si="5"/>
        <v>0</v>
      </c>
    </row>
    <row r="121" spans="1:15" x14ac:dyDescent="0.3">
      <c r="A121" s="365"/>
      <c r="B121" s="365"/>
      <c r="C121" s="366"/>
      <c r="D121" s="367"/>
      <c r="E121" s="368"/>
      <c r="F121" s="368"/>
      <c r="G121" s="369"/>
      <c r="H121" s="369"/>
      <c r="I121" s="370"/>
      <c r="J121" s="370"/>
      <c r="K121" s="371"/>
      <c r="L121" s="371"/>
      <c r="M121" s="137">
        <f t="shared" si="3"/>
        <v>0</v>
      </c>
      <c r="N121" s="137">
        <f t="shared" si="4"/>
        <v>0</v>
      </c>
      <c r="O121" s="132">
        <f t="shared" si="5"/>
        <v>0</v>
      </c>
    </row>
    <row r="122" spans="1:15" x14ac:dyDescent="0.3">
      <c r="A122" s="365"/>
      <c r="B122" s="365"/>
      <c r="C122" s="366"/>
      <c r="D122" s="367"/>
      <c r="E122" s="368"/>
      <c r="F122" s="368"/>
      <c r="G122" s="369"/>
      <c r="H122" s="369"/>
      <c r="I122" s="370"/>
      <c r="J122" s="370"/>
      <c r="K122" s="371"/>
      <c r="L122" s="371"/>
      <c r="M122" s="137">
        <f t="shared" si="3"/>
        <v>0</v>
      </c>
      <c r="N122" s="137">
        <f t="shared" si="4"/>
        <v>0</v>
      </c>
      <c r="O122" s="132">
        <f t="shared" si="5"/>
        <v>0</v>
      </c>
    </row>
    <row r="123" spans="1:15" x14ac:dyDescent="0.3">
      <c r="A123" s="365"/>
      <c r="B123" s="365"/>
      <c r="C123" s="366"/>
      <c r="D123" s="367"/>
      <c r="E123" s="368"/>
      <c r="F123" s="368"/>
      <c r="G123" s="369"/>
      <c r="H123" s="369"/>
      <c r="I123" s="370"/>
      <c r="J123" s="370"/>
      <c r="K123" s="371"/>
      <c r="L123" s="371"/>
      <c r="M123" s="137">
        <f t="shared" si="3"/>
        <v>0</v>
      </c>
      <c r="N123" s="137">
        <f t="shared" si="4"/>
        <v>0</v>
      </c>
      <c r="O123" s="132">
        <f t="shared" si="5"/>
        <v>0</v>
      </c>
    </row>
    <row r="124" spans="1:15" x14ac:dyDescent="0.3">
      <c r="A124" s="365"/>
      <c r="B124" s="365"/>
      <c r="C124" s="366"/>
      <c r="D124" s="367"/>
      <c r="E124" s="368"/>
      <c r="F124" s="368"/>
      <c r="G124" s="369"/>
      <c r="H124" s="369"/>
      <c r="I124" s="370"/>
      <c r="J124" s="370"/>
      <c r="K124" s="371"/>
      <c r="L124" s="371"/>
      <c r="M124" s="137">
        <f t="shared" si="3"/>
        <v>0</v>
      </c>
      <c r="N124" s="137">
        <f t="shared" si="4"/>
        <v>0</v>
      </c>
      <c r="O124" s="132">
        <f t="shared" si="5"/>
        <v>0</v>
      </c>
    </row>
    <row r="125" spans="1:15" x14ac:dyDescent="0.3">
      <c r="A125" s="365"/>
      <c r="B125" s="365"/>
      <c r="C125" s="366"/>
      <c r="D125" s="367"/>
      <c r="E125" s="368"/>
      <c r="F125" s="368"/>
      <c r="G125" s="369"/>
      <c r="H125" s="369"/>
      <c r="I125" s="370"/>
      <c r="J125" s="370"/>
      <c r="K125" s="371"/>
      <c r="L125" s="371"/>
      <c r="M125" s="137">
        <f t="shared" si="3"/>
        <v>0</v>
      </c>
      <c r="N125" s="137">
        <f t="shared" si="4"/>
        <v>0</v>
      </c>
      <c r="O125" s="132">
        <f t="shared" si="5"/>
        <v>0</v>
      </c>
    </row>
    <row r="126" spans="1:15" x14ac:dyDescent="0.3">
      <c r="A126" s="365"/>
      <c r="B126" s="365"/>
      <c r="C126" s="366"/>
      <c r="D126" s="367"/>
      <c r="E126" s="368"/>
      <c r="F126" s="368"/>
      <c r="G126" s="369"/>
      <c r="H126" s="369"/>
      <c r="I126" s="370"/>
      <c r="J126" s="370"/>
      <c r="K126" s="371"/>
      <c r="L126" s="371"/>
      <c r="M126" s="137">
        <f t="shared" si="3"/>
        <v>0</v>
      </c>
      <c r="N126" s="137">
        <f t="shared" si="4"/>
        <v>0</v>
      </c>
      <c r="O126" s="132">
        <f t="shared" si="5"/>
        <v>0</v>
      </c>
    </row>
    <row r="127" spans="1:15" x14ac:dyDescent="0.3">
      <c r="A127" s="365"/>
      <c r="B127" s="365"/>
      <c r="C127" s="366"/>
      <c r="D127" s="367"/>
      <c r="E127" s="368"/>
      <c r="F127" s="368"/>
      <c r="G127" s="369"/>
      <c r="H127" s="369"/>
      <c r="I127" s="370"/>
      <c r="J127" s="370"/>
      <c r="K127" s="371"/>
      <c r="L127" s="371"/>
      <c r="M127" s="137">
        <f t="shared" si="3"/>
        <v>0</v>
      </c>
      <c r="N127" s="137">
        <f t="shared" si="4"/>
        <v>0</v>
      </c>
      <c r="O127" s="132">
        <f t="shared" si="5"/>
        <v>0</v>
      </c>
    </row>
    <row r="128" spans="1:15" x14ac:dyDescent="0.3">
      <c r="A128" s="365"/>
      <c r="B128" s="365"/>
      <c r="C128" s="366"/>
      <c r="D128" s="367"/>
      <c r="E128" s="368"/>
      <c r="F128" s="368"/>
      <c r="G128" s="369"/>
      <c r="H128" s="369"/>
      <c r="I128" s="370"/>
      <c r="J128" s="370"/>
      <c r="K128" s="371"/>
      <c r="L128" s="371"/>
      <c r="M128" s="137">
        <f t="shared" si="3"/>
        <v>0</v>
      </c>
      <c r="N128" s="137">
        <f t="shared" si="4"/>
        <v>0</v>
      </c>
      <c r="O128" s="132">
        <f t="shared" si="5"/>
        <v>0</v>
      </c>
    </row>
    <row r="129" spans="1:15" x14ac:dyDescent="0.3">
      <c r="A129" s="365"/>
      <c r="B129" s="365"/>
      <c r="C129" s="366"/>
      <c r="D129" s="367"/>
      <c r="E129" s="368"/>
      <c r="F129" s="368"/>
      <c r="G129" s="369"/>
      <c r="H129" s="369"/>
      <c r="I129" s="370"/>
      <c r="J129" s="370"/>
      <c r="K129" s="371"/>
      <c r="L129" s="371"/>
      <c r="M129" s="137">
        <f t="shared" si="3"/>
        <v>0</v>
      </c>
      <c r="N129" s="137">
        <f t="shared" si="4"/>
        <v>0</v>
      </c>
      <c r="O129" s="132">
        <f t="shared" si="5"/>
        <v>0</v>
      </c>
    </row>
    <row r="130" spans="1:15" x14ac:dyDescent="0.3">
      <c r="A130" s="365"/>
      <c r="B130" s="365"/>
      <c r="C130" s="366"/>
      <c r="D130" s="367"/>
      <c r="E130" s="368"/>
      <c r="F130" s="368"/>
      <c r="G130" s="369"/>
      <c r="H130" s="369"/>
      <c r="I130" s="370"/>
      <c r="J130" s="370"/>
      <c r="K130" s="371"/>
      <c r="L130" s="371"/>
      <c r="M130" s="137">
        <f t="shared" si="3"/>
        <v>0</v>
      </c>
      <c r="N130" s="137">
        <f t="shared" si="4"/>
        <v>0</v>
      </c>
      <c r="O130" s="132">
        <f t="shared" si="5"/>
        <v>0</v>
      </c>
    </row>
    <row r="131" spans="1:15" x14ac:dyDescent="0.3">
      <c r="A131" s="365"/>
      <c r="B131" s="365"/>
      <c r="C131" s="366"/>
      <c r="D131" s="367"/>
      <c r="E131" s="368"/>
      <c r="F131" s="368"/>
      <c r="G131" s="369"/>
      <c r="H131" s="369"/>
      <c r="I131" s="370"/>
      <c r="J131" s="370"/>
      <c r="K131" s="371"/>
      <c r="L131" s="371"/>
      <c r="M131" s="137">
        <f t="shared" si="3"/>
        <v>0</v>
      </c>
      <c r="N131" s="137">
        <f t="shared" si="4"/>
        <v>0</v>
      </c>
      <c r="O131" s="132">
        <f t="shared" si="5"/>
        <v>0</v>
      </c>
    </row>
    <row r="132" spans="1:15" x14ac:dyDescent="0.3">
      <c r="A132" s="365"/>
      <c r="B132" s="365"/>
      <c r="C132" s="366"/>
      <c r="D132" s="367"/>
      <c r="E132" s="368"/>
      <c r="F132" s="368"/>
      <c r="G132" s="369"/>
      <c r="H132" s="369"/>
      <c r="I132" s="370"/>
      <c r="J132" s="370"/>
      <c r="K132" s="371"/>
      <c r="L132" s="371"/>
      <c r="M132" s="137">
        <f t="shared" si="3"/>
        <v>0</v>
      </c>
      <c r="N132" s="137">
        <f t="shared" si="4"/>
        <v>0</v>
      </c>
      <c r="O132" s="132">
        <f t="shared" si="5"/>
        <v>0</v>
      </c>
    </row>
    <row r="133" spans="1:15" x14ac:dyDescent="0.3">
      <c r="A133" s="365"/>
      <c r="B133" s="365"/>
      <c r="C133" s="366"/>
      <c r="D133" s="367"/>
      <c r="E133" s="368"/>
      <c r="F133" s="368"/>
      <c r="G133" s="369"/>
      <c r="H133" s="369"/>
      <c r="I133" s="370"/>
      <c r="J133" s="370"/>
      <c r="K133" s="371"/>
      <c r="L133" s="371"/>
      <c r="M133" s="137">
        <f t="shared" ref="M133:M196" si="6">SUM(E133+G133+I133+K133)</f>
        <v>0</v>
      </c>
      <c r="N133" s="137">
        <f t="shared" ref="N133:N196" si="7">SUM(F133+H133+J133+L133)</f>
        <v>0</v>
      </c>
      <c r="O133" s="132">
        <f t="shared" si="5"/>
        <v>0</v>
      </c>
    </row>
    <row r="134" spans="1:15" x14ac:dyDescent="0.3">
      <c r="A134" s="365"/>
      <c r="B134" s="365"/>
      <c r="C134" s="366"/>
      <c r="D134" s="367"/>
      <c r="E134" s="368"/>
      <c r="F134" s="368"/>
      <c r="G134" s="369"/>
      <c r="H134" s="369"/>
      <c r="I134" s="370"/>
      <c r="J134" s="370"/>
      <c r="K134" s="371"/>
      <c r="L134" s="371"/>
      <c r="M134" s="137">
        <f t="shared" si="6"/>
        <v>0</v>
      </c>
      <c r="N134" s="137">
        <f t="shared" si="7"/>
        <v>0</v>
      </c>
      <c r="O134" s="132">
        <f t="shared" si="5"/>
        <v>0</v>
      </c>
    </row>
    <row r="135" spans="1:15" x14ac:dyDescent="0.3">
      <c r="A135" s="365"/>
      <c r="B135" s="365"/>
      <c r="C135" s="366"/>
      <c r="D135" s="367"/>
      <c r="E135" s="368"/>
      <c r="F135" s="368"/>
      <c r="G135" s="369"/>
      <c r="H135" s="369"/>
      <c r="I135" s="370"/>
      <c r="J135" s="370"/>
      <c r="K135" s="371"/>
      <c r="L135" s="371"/>
      <c r="M135" s="137">
        <f t="shared" si="6"/>
        <v>0</v>
      </c>
      <c r="N135" s="137">
        <f t="shared" si="7"/>
        <v>0</v>
      </c>
      <c r="O135" s="132">
        <f t="shared" si="5"/>
        <v>0</v>
      </c>
    </row>
    <row r="136" spans="1:15" x14ac:dyDescent="0.3">
      <c r="A136" s="365"/>
      <c r="B136" s="365"/>
      <c r="C136" s="366"/>
      <c r="D136" s="367"/>
      <c r="E136" s="368"/>
      <c r="F136" s="368"/>
      <c r="G136" s="369"/>
      <c r="H136" s="369"/>
      <c r="I136" s="370"/>
      <c r="J136" s="370"/>
      <c r="K136" s="371"/>
      <c r="L136" s="371"/>
      <c r="M136" s="137">
        <f t="shared" si="6"/>
        <v>0</v>
      </c>
      <c r="N136" s="137">
        <f t="shared" si="7"/>
        <v>0</v>
      </c>
      <c r="O136" s="132">
        <f t="shared" si="5"/>
        <v>0</v>
      </c>
    </row>
    <row r="137" spans="1:15" x14ac:dyDescent="0.3">
      <c r="A137" s="365"/>
      <c r="B137" s="365"/>
      <c r="C137" s="366"/>
      <c r="D137" s="367"/>
      <c r="E137" s="368"/>
      <c r="F137" s="368"/>
      <c r="G137" s="369"/>
      <c r="H137" s="369"/>
      <c r="I137" s="370"/>
      <c r="J137" s="370"/>
      <c r="K137" s="371"/>
      <c r="L137" s="371"/>
      <c r="M137" s="137">
        <f t="shared" si="6"/>
        <v>0</v>
      </c>
      <c r="N137" s="137">
        <f t="shared" si="7"/>
        <v>0</v>
      </c>
      <c r="O137" s="132">
        <f t="shared" si="5"/>
        <v>0</v>
      </c>
    </row>
    <row r="138" spans="1:15" x14ac:dyDescent="0.3">
      <c r="A138" s="365"/>
      <c r="B138" s="365"/>
      <c r="C138" s="366"/>
      <c r="D138" s="367"/>
      <c r="E138" s="368"/>
      <c r="F138" s="368"/>
      <c r="G138" s="369"/>
      <c r="H138" s="369"/>
      <c r="I138" s="370"/>
      <c r="J138" s="370"/>
      <c r="K138" s="371"/>
      <c r="L138" s="371"/>
      <c r="M138" s="137">
        <f t="shared" si="6"/>
        <v>0</v>
      </c>
      <c r="N138" s="137">
        <f t="shared" si="7"/>
        <v>0</v>
      </c>
      <c r="O138" s="132">
        <f t="shared" si="5"/>
        <v>0</v>
      </c>
    </row>
    <row r="139" spans="1:15" x14ac:dyDescent="0.3">
      <c r="A139" s="365"/>
      <c r="B139" s="365"/>
      <c r="C139" s="366"/>
      <c r="D139" s="367"/>
      <c r="E139" s="368"/>
      <c r="F139" s="368"/>
      <c r="G139" s="369"/>
      <c r="H139" s="369"/>
      <c r="I139" s="370"/>
      <c r="J139" s="370"/>
      <c r="K139" s="371"/>
      <c r="L139" s="371"/>
      <c r="M139" s="137">
        <f t="shared" si="6"/>
        <v>0</v>
      </c>
      <c r="N139" s="137">
        <f t="shared" si="7"/>
        <v>0</v>
      </c>
      <c r="O139" s="132">
        <f t="shared" si="5"/>
        <v>0</v>
      </c>
    </row>
    <row r="140" spans="1:15" x14ac:dyDescent="0.3">
      <c r="A140" s="365"/>
      <c r="B140" s="365"/>
      <c r="C140" s="366"/>
      <c r="D140" s="367"/>
      <c r="E140" s="368"/>
      <c r="F140" s="368"/>
      <c r="G140" s="369"/>
      <c r="H140" s="369"/>
      <c r="I140" s="370"/>
      <c r="J140" s="370"/>
      <c r="K140" s="371"/>
      <c r="L140" s="371"/>
      <c r="M140" s="137">
        <f t="shared" si="6"/>
        <v>0</v>
      </c>
      <c r="N140" s="137">
        <f t="shared" si="7"/>
        <v>0</v>
      </c>
      <c r="O140" s="132">
        <f t="shared" ref="O140:O203" si="8">SUM(M140+N140)</f>
        <v>0</v>
      </c>
    </row>
    <row r="141" spans="1:15" ht="16.5" customHeight="1" x14ac:dyDescent="0.3">
      <c r="A141" s="365"/>
      <c r="B141" s="365"/>
      <c r="C141" s="366"/>
      <c r="D141" s="367"/>
      <c r="E141" s="368"/>
      <c r="F141" s="368"/>
      <c r="G141" s="369"/>
      <c r="H141" s="369"/>
      <c r="I141" s="370"/>
      <c r="J141" s="370"/>
      <c r="K141" s="371"/>
      <c r="L141" s="371"/>
      <c r="M141" s="137">
        <f t="shared" si="6"/>
        <v>0</v>
      </c>
      <c r="N141" s="137">
        <f t="shared" si="7"/>
        <v>0</v>
      </c>
      <c r="O141" s="132">
        <f t="shared" si="8"/>
        <v>0</v>
      </c>
    </row>
    <row r="142" spans="1:15" x14ac:dyDescent="0.3">
      <c r="A142" s="365"/>
      <c r="B142" s="365"/>
      <c r="C142" s="366"/>
      <c r="D142" s="367"/>
      <c r="E142" s="368"/>
      <c r="F142" s="368"/>
      <c r="G142" s="369"/>
      <c r="H142" s="369"/>
      <c r="I142" s="370"/>
      <c r="J142" s="370"/>
      <c r="K142" s="371"/>
      <c r="L142" s="371"/>
      <c r="M142" s="137">
        <f t="shared" si="6"/>
        <v>0</v>
      </c>
      <c r="N142" s="137">
        <f t="shared" si="7"/>
        <v>0</v>
      </c>
      <c r="O142" s="132">
        <f t="shared" si="8"/>
        <v>0</v>
      </c>
    </row>
    <row r="143" spans="1:15" x14ac:dyDescent="0.3">
      <c r="A143" s="365"/>
      <c r="B143" s="365"/>
      <c r="C143" s="366"/>
      <c r="D143" s="367"/>
      <c r="E143" s="368"/>
      <c r="F143" s="368"/>
      <c r="G143" s="369"/>
      <c r="H143" s="369"/>
      <c r="I143" s="370"/>
      <c r="J143" s="370"/>
      <c r="K143" s="371"/>
      <c r="L143" s="371"/>
      <c r="M143" s="137">
        <f t="shared" si="6"/>
        <v>0</v>
      </c>
      <c r="N143" s="137">
        <f t="shared" si="7"/>
        <v>0</v>
      </c>
      <c r="O143" s="132">
        <f t="shared" si="8"/>
        <v>0</v>
      </c>
    </row>
    <row r="144" spans="1:15" x14ac:dyDescent="0.3">
      <c r="A144" s="365"/>
      <c r="B144" s="365"/>
      <c r="C144" s="366"/>
      <c r="D144" s="367"/>
      <c r="E144" s="368"/>
      <c r="F144" s="368"/>
      <c r="G144" s="369"/>
      <c r="H144" s="369"/>
      <c r="I144" s="370"/>
      <c r="J144" s="370"/>
      <c r="K144" s="371"/>
      <c r="L144" s="371"/>
      <c r="M144" s="137">
        <f t="shared" si="6"/>
        <v>0</v>
      </c>
      <c r="N144" s="137">
        <f t="shared" si="7"/>
        <v>0</v>
      </c>
      <c r="O144" s="132">
        <f t="shared" si="8"/>
        <v>0</v>
      </c>
    </row>
    <row r="145" spans="1:15" x14ac:dyDescent="0.3">
      <c r="A145" s="365"/>
      <c r="B145" s="365"/>
      <c r="C145" s="366"/>
      <c r="D145" s="367"/>
      <c r="E145" s="368"/>
      <c r="F145" s="368"/>
      <c r="G145" s="369"/>
      <c r="H145" s="369"/>
      <c r="I145" s="370"/>
      <c r="J145" s="370"/>
      <c r="K145" s="371"/>
      <c r="L145" s="371"/>
      <c r="M145" s="137">
        <f t="shared" si="6"/>
        <v>0</v>
      </c>
      <c r="N145" s="137">
        <f t="shared" si="7"/>
        <v>0</v>
      </c>
      <c r="O145" s="132">
        <f t="shared" si="8"/>
        <v>0</v>
      </c>
    </row>
    <row r="146" spans="1:15" x14ac:dyDescent="0.3">
      <c r="A146" s="365"/>
      <c r="B146" s="365"/>
      <c r="C146" s="366"/>
      <c r="D146" s="367"/>
      <c r="E146" s="368"/>
      <c r="F146" s="368"/>
      <c r="G146" s="369"/>
      <c r="H146" s="369"/>
      <c r="I146" s="370"/>
      <c r="J146" s="370"/>
      <c r="K146" s="371"/>
      <c r="L146" s="371"/>
      <c r="M146" s="137">
        <f t="shared" si="6"/>
        <v>0</v>
      </c>
      <c r="N146" s="137">
        <f t="shared" si="7"/>
        <v>0</v>
      </c>
      <c r="O146" s="132">
        <f t="shared" si="8"/>
        <v>0</v>
      </c>
    </row>
    <row r="147" spans="1:15" x14ac:dyDescent="0.3">
      <c r="A147" s="365"/>
      <c r="B147" s="365"/>
      <c r="C147" s="366"/>
      <c r="D147" s="367"/>
      <c r="E147" s="368"/>
      <c r="F147" s="368"/>
      <c r="G147" s="369"/>
      <c r="H147" s="369"/>
      <c r="I147" s="370"/>
      <c r="J147" s="370"/>
      <c r="K147" s="371"/>
      <c r="L147" s="371"/>
      <c r="M147" s="137">
        <f t="shared" si="6"/>
        <v>0</v>
      </c>
      <c r="N147" s="137">
        <f t="shared" si="7"/>
        <v>0</v>
      </c>
      <c r="O147" s="132">
        <f t="shared" si="8"/>
        <v>0</v>
      </c>
    </row>
    <row r="148" spans="1:15" x14ac:dyDescent="0.3">
      <c r="A148" s="365"/>
      <c r="B148" s="365"/>
      <c r="C148" s="366"/>
      <c r="D148" s="367"/>
      <c r="E148" s="368"/>
      <c r="F148" s="368"/>
      <c r="G148" s="369"/>
      <c r="H148" s="369"/>
      <c r="I148" s="370"/>
      <c r="J148" s="370"/>
      <c r="K148" s="371"/>
      <c r="L148" s="371"/>
      <c r="M148" s="137">
        <f t="shared" si="6"/>
        <v>0</v>
      </c>
      <c r="N148" s="137">
        <f t="shared" si="7"/>
        <v>0</v>
      </c>
      <c r="O148" s="132">
        <f t="shared" si="8"/>
        <v>0</v>
      </c>
    </row>
    <row r="149" spans="1:15" x14ac:dyDescent="0.3">
      <c r="A149" s="365"/>
      <c r="B149" s="365"/>
      <c r="C149" s="366"/>
      <c r="D149" s="367"/>
      <c r="E149" s="368"/>
      <c r="F149" s="368"/>
      <c r="G149" s="369"/>
      <c r="H149" s="369"/>
      <c r="I149" s="370"/>
      <c r="J149" s="370"/>
      <c r="K149" s="371"/>
      <c r="L149" s="371"/>
      <c r="M149" s="137">
        <f t="shared" si="6"/>
        <v>0</v>
      </c>
      <c r="N149" s="137">
        <f t="shared" si="7"/>
        <v>0</v>
      </c>
      <c r="O149" s="132">
        <f t="shared" si="8"/>
        <v>0</v>
      </c>
    </row>
    <row r="150" spans="1:15" x14ac:dyDescent="0.3">
      <c r="A150" s="365"/>
      <c r="B150" s="365"/>
      <c r="C150" s="366"/>
      <c r="D150" s="367"/>
      <c r="E150" s="368"/>
      <c r="F150" s="368"/>
      <c r="G150" s="369"/>
      <c r="H150" s="369"/>
      <c r="I150" s="370"/>
      <c r="J150" s="370"/>
      <c r="K150" s="371"/>
      <c r="L150" s="371"/>
      <c r="M150" s="137">
        <f t="shared" si="6"/>
        <v>0</v>
      </c>
      <c r="N150" s="137">
        <f t="shared" si="7"/>
        <v>0</v>
      </c>
      <c r="O150" s="132">
        <f t="shared" si="8"/>
        <v>0</v>
      </c>
    </row>
    <row r="151" spans="1:15" x14ac:dyDescent="0.3">
      <c r="A151" s="365"/>
      <c r="B151" s="365"/>
      <c r="C151" s="366"/>
      <c r="D151" s="367"/>
      <c r="E151" s="368"/>
      <c r="F151" s="368"/>
      <c r="G151" s="369"/>
      <c r="H151" s="369"/>
      <c r="I151" s="370"/>
      <c r="J151" s="370"/>
      <c r="K151" s="371"/>
      <c r="L151" s="371"/>
      <c r="M151" s="137">
        <f t="shared" si="6"/>
        <v>0</v>
      </c>
      <c r="N151" s="137">
        <f t="shared" si="7"/>
        <v>0</v>
      </c>
      <c r="O151" s="132">
        <f t="shared" si="8"/>
        <v>0</v>
      </c>
    </row>
    <row r="152" spans="1:15" x14ac:dyDescent="0.3">
      <c r="A152" s="365"/>
      <c r="B152" s="365"/>
      <c r="C152" s="366"/>
      <c r="D152" s="367"/>
      <c r="E152" s="368"/>
      <c r="F152" s="368"/>
      <c r="G152" s="369"/>
      <c r="H152" s="369"/>
      <c r="I152" s="370"/>
      <c r="J152" s="370"/>
      <c r="K152" s="371"/>
      <c r="L152" s="371"/>
      <c r="M152" s="137">
        <f t="shared" si="6"/>
        <v>0</v>
      </c>
      <c r="N152" s="137">
        <f t="shared" si="7"/>
        <v>0</v>
      </c>
      <c r="O152" s="132">
        <f t="shared" si="8"/>
        <v>0</v>
      </c>
    </row>
    <row r="153" spans="1:15" x14ac:dyDescent="0.3">
      <c r="A153" s="365"/>
      <c r="B153" s="365"/>
      <c r="C153" s="366"/>
      <c r="D153" s="367"/>
      <c r="E153" s="368"/>
      <c r="F153" s="368"/>
      <c r="G153" s="369"/>
      <c r="H153" s="369"/>
      <c r="I153" s="370"/>
      <c r="J153" s="370"/>
      <c r="K153" s="371"/>
      <c r="L153" s="371"/>
      <c r="M153" s="137">
        <f t="shared" si="6"/>
        <v>0</v>
      </c>
      <c r="N153" s="137">
        <f t="shared" si="7"/>
        <v>0</v>
      </c>
      <c r="O153" s="132">
        <f t="shared" si="8"/>
        <v>0</v>
      </c>
    </row>
    <row r="154" spans="1:15" x14ac:dyDescent="0.3">
      <c r="A154" s="365"/>
      <c r="B154" s="365"/>
      <c r="C154" s="366"/>
      <c r="D154" s="367"/>
      <c r="E154" s="368"/>
      <c r="F154" s="368"/>
      <c r="G154" s="369"/>
      <c r="H154" s="369"/>
      <c r="I154" s="370"/>
      <c r="J154" s="370"/>
      <c r="K154" s="371"/>
      <c r="L154" s="371"/>
      <c r="M154" s="137">
        <f t="shared" si="6"/>
        <v>0</v>
      </c>
      <c r="N154" s="137">
        <f t="shared" si="7"/>
        <v>0</v>
      </c>
      <c r="O154" s="132">
        <f t="shared" si="8"/>
        <v>0</v>
      </c>
    </row>
    <row r="155" spans="1:15" x14ac:dyDescent="0.3">
      <c r="A155" s="365"/>
      <c r="B155" s="365"/>
      <c r="C155" s="366"/>
      <c r="D155" s="367"/>
      <c r="E155" s="368"/>
      <c r="F155" s="368"/>
      <c r="G155" s="369"/>
      <c r="H155" s="369"/>
      <c r="I155" s="370"/>
      <c r="J155" s="370"/>
      <c r="K155" s="371"/>
      <c r="L155" s="371"/>
      <c r="M155" s="137">
        <f t="shared" si="6"/>
        <v>0</v>
      </c>
      <c r="N155" s="137">
        <f t="shared" si="7"/>
        <v>0</v>
      </c>
      <c r="O155" s="131">
        <f t="shared" si="8"/>
        <v>0</v>
      </c>
    </row>
    <row r="156" spans="1:15" x14ac:dyDescent="0.3">
      <c r="A156" s="365"/>
      <c r="B156" s="365"/>
      <c r="C156" s="366"/>
      <c r="D156" s="367"/>
      <c r="E156" s="368"/>
      <c r="F156" s="368"/>
      <c r="G156" s="369"/>
      <c r="H156" s="369"/>
      <c r="I156" s="370"/>
      <c r="J156" s="370"/>
      <c r="K156" s="371"/>
      <c r="L156" s="371"/>
      <c r="M156" s="137">
        <f t="shared" si="6"/>
        <v>0</v>
      </c>
      <c r="N156" s="137">
        <f t="shared" si="7"/>
        <v>0</v>
      </c>
      <c r="O156" s="132">
        <f t="shared" si="8"/>
        <v>0</v>
      </c>
    </row>
    <row r="157" spans="1:15" x14ac:dyDescent="0.3">
      <c r="A157" s="365"/>
      <c r="B157" s="365"/>
      <c r="C157" s="366"/>
      <c r="D157" s="367"/>
      <c r="E157" s="368"/>
      <c r="F157" s="368"/>
      <c r="G157" s="369"/>
      <c r="H157" s="369"/>
      <c r="I157" s="370"/>
      <c r="J157" s="370"/>
      <c r="K157" s="371"/>
      <c r="L157" s="371"/>
      <c r="M157" s="137">
        <f t="shared" si="6"/>
        <v>0</v>
      </c>
      <c r="N157" s="137">
        <f t="shared" si="7"/>
        <v>0</v>
      </c>
      <c r="O157" s="131">
        <f t="shared" si="8"/>
        <v>0</v>
      </c>
    </row>
    <row r="158" spans="1:15" x14ac:dyDescent="0.3">
      <c r="A158" s="365"/>
      <c r="B158" s="365"/>
      <c r="C158" s="366"/>
      <c r="D158" s="367"/>
      <c r="E158" s="368"/>
      <c r="F158" s="368"/>
      <c r="G158" s="369"/>
      <c r="H158" s="369"/>
      <c r="I158" s="370"/>
      <c r="J158" s="370"/>
      <c r="K158" s="371"/>
      <c r="L158" s="371"/>
      <c r="M158" s="137">
        <f t="shared" si="6"/>
        <v>0</v>
      </c>
      <c r="N158" s="137">
        <f t="shared" si="7"/>
        <v>0</v>
      </c>
      <c r="O158" s="132">
        <f t="shared" si="8"/>
        <v>0</v>
      </c>
    </row>
    <row r="159" spans="1:15" x14ac:dyDescent="0.3">
      <c r="A159" s="365"/>
      <c r="B159" s="365"/>
      <c r="C159" s="366"/>
      <c r="D159" s="367"/>
      <c r="E159" s="368"/>
      <c r="F159" s="368"/>
      <c r="G159" s="369"/>
      <c r="H159" s="369"/>
      <c r="I159" s="370"/>
      <c r="J159" s="370"/>
      <c r="K159" s="371"/>
      <c r="L159" s="371"/>
      <c r="M159" s="137">
        <f t="shared" si="6"/>
        <v>0</v>
      </c>
      <c r="N159" s="137">
        <f t="shared" si="7"/>
        <v>0</v>
      </c>
      <c r="O159" s="132">
        <f t="shared" si="8"/>
        <v>0</v>
      </c>
    </row>
    <row r="160" spans="1:15" x14ac:dyDescent="0.3">
      <c r="A160" s="365"/>
      <c r="B160" s="365"/>
      <c r="C160" s="366"/>
      <c r="D160" s="367"/>
      <c r="E160" s="368"/>
      <c r="F160" s="368"/>
      <c r="G160" s="369"/>
      <c r="H160" s="369"/>
      <c r="I160" s="370"/>
      <c r="J160" s="370"/>
      <c r="K160" s="371"/>
      <c r="L160" s="371"/>
      <c r="M160" s="137">
        <f t="shared" si="6"/>
        <v>0</v>
      </c>
      <c r="N160" s="137">
        <f t="shared" si="7"/>
        <v>0</v>
      </c>
      <c r="O160" s="132">
        <f t="shared" si="8"/>
        <v>0</v>
      </c>
    </row>
    <row r="161" spans="1:15" x14ac:dyDescent="0.3">
      <c r="A161" s="365"/>
      <c r="B161" s="365"/>
      <c r="C161" s="366"/>
      <c r="D161" s="367"/>
      <c r="E161" s="368"/>
      <c r="F161" s="368"/>
      <c r="G161" s="369"/>
      <c r="H161" s="369"/>
      <c r="I161" s="370"/>
      <c r="J161" s="370"/>
      <c r="K161" s="371"/>
      <c r="L161" s="371"/>
      <c r="M161" s="137">
        <f t="shared" si="6"/>
        <v>0</v>
      </c>
      <c r="N161" s="137">
        <f t="shared" si="7"/>
        <v>0</v>
      </c>
      <c r="O161" s="132">
        <f t="shared" si="8"/>
        <v>0</v>
      </c>
    </row>
    <row r="162" spans="1:15" x14ac:dyDescent="0.3">
      <c r="A162" s="365"/>
      <c r="B162" s="365"/>
      <c r="C162" s="366"/>
      <c r="D162" s="367"/>
      <c r="E162" s="368"/>
      <c r="F162" s="368"/>
      <c r="G162" s="369"/>
      <c r="H162" s="369"/>
      <c r="I162" s="370"/>
      <c r="J162" s="370"/>
      <c r="K162" s="371"/>
      <c r="L162" s="371"/>
      <c r="M162" s="137">
        <f t="shared" si="6"/>
        <v>0</v>
      </c>
      <c r="N162" s="137">
        <f t="shared" si="7"/>
        <v>0</v>
      </c>
      <c r="O162" s="132">
        <f t="shared" si="8"/>
        <v>0</v>
      </c>
    </row>
    <row r="163" spans="1:15" x14ac:dyDescent="0.3">
      <c r="A163" s="365"/>
      <c r="B163" s="365"/>
      <c r="C163" s="366"/>
      <c r="D163" s="367"/>
      <c r="E163" s="368"/>
      <c r="F163" s="368"/>
      <c r="G163" s="369"/>
      <c r="H163" s="369"/>
      <c r="I163" s="370"/>
      <c r="J163" s="370"/>
      <c r="K163" s="371"/>
      <c r="L163" s="371"/>
      <c r="M163" s="137">
        <f t="shared" si="6"/>
        <v>0</v>
      </c>
      <c r="N163" s="137">
        <f t="shared" si="7"/>
        <v>0</v>
      </c>
      <c r="O163" s="132">
        <f t="shared" si="8"/>
        <v>0</v>
      </c>
    </row>
    <row r="164" spans="1:15" x14ac:dyDescent="0.3">
      <c r="A164" s="365"/>
      <c r="B164" s="365"/>
      <c r="C164" s="366"/>
      <c r="D164" s="367"/>
      <c r="E164" s="368"/>
      <c r="F164" s="368"/>
      <c r="G164" s="369"/>
      <c r="H164" s="369"/>
      <c r="I164" s="370"/>
      <c r="J164" s="370"/>
      <c r="K164" s="371"/>
      <c r="L164" s="371"/>
      <c r="M164" s="137">
        <f t="shared" si="6"/>
        <v>0</v>
      </c>
      <c r="N164" s="137">
        <f t="shared" si="7"/>
        <v>0</v>
      </c>
      <c r="O164" s="132">
        <f t="shared" si="8"/>
        <v>0</v>
      </c>
    </row>
    <row r="165" spans="1:15" x14ac:dyDescent="0.3">
      <c r="A165" s="365"/>
      <c r="B165" s="365"/>
      <c r="C165" s="366"/>
      <c r="D165" s="367"/>
      <c r="E165" s="368"/>
      <c r="F165" s="368"/>
      <c r="G165" s="369"/>
      <c r="H165" s="369"/>
      <c r="I165" s="370"/>
      <c r="J165" s="370"/>
      <c r="K165" s="371"/>
      <c r="L165" s="371"/>
      <c r="M165" s="137">
        <f t="shared" si="6"/>
        <v>0</v>
      </c>
      <c r="N165" s="137">
        <f t="shared" si="7"/>
        <v>0</v>
      </c>
      <c r="O165" s="131">
        <f t="shared" si="8"/>
        <v>0</v>
      </c>
    </row>
    <row r="166" spans="1:15" x14ac:dyDescent="0.3">
      <c r="A166" s="365"/>
      <c r="B166" s="365"/>
      <c r="C166" s="366"/>
      <c r="D166" s="367"/>
      <c r="E166" s="368"/>
      <c r="F166" s="368"/>
      <c r="G166" s="369"/>
      <c r="H166" s="369"/>
      <c r="I166" s="370"/>
      <c r="J166" s="370"/>
      <c r="K166" s="371"/>
      <c r="L166" s="371"/>
      <c r="M166" s="137">
        <f t="shared" si="6"/>
        <v>0</v>
      </c>
      <c r="N166" s="137">
        <f t="shared" si="7"/>
        <v>0</v>
      </c>
      <c r="O166" s="132">
        <f t="shared" si="8"/>
        <v>0</v>
      </c>
    </row>
    <row r="167" spans="1:15" x14ac:dyDescent="0.3">
      <c r="A167" s="365"/>
      <c r="B167" s="365"/>
      <c r="C167" s="366"/>
      <c r="D167" s="367"/>
      <c r="E167" s="368"/>
      <c r="F167" s="368"/>
      <c r="G167" s="369"/>
      <c r="H167" s="369"/>
      <c r="I167" s="370"/>
      <c r="J167" s="370"/>
      <c r="K167" s="371"/>
      <c r="L167" s="371"/>
      <c r="M167" s="137">
        <f t="shared" si="6"/>
        <v>0</v>
      </c>
      <c r="N167" s="137">
        <f t="shared" si="7"/>
        <v>0</v>
      </c>
      <c r="O167" s="132">
        <f t="shared" si="8"/>
        <v>0</v>
      </c>
    </row>
    <row r="168" spans="1:15" x14ac:dyDescent="0.3">
      <c r="A168" s="365"/>
      <c r="B168" s="365"/>
      <c r="C168" s="366"/>
      <c r="D168" s="367"/>
      <c r="E168" s="368"/>
      <c r="F168" s="368"/>
      <c r="G168" s="369"/>
      <c r="H168" s="369"/>
      <c r="I168" s="370"/>
      <c r="J168" s="370"/>
      <c r="K168" s="371"/>
      <c r="L168" s="371"/>
      <c r="M168" s="137">
        <f t="shared" si="6"/>
        <v>0</v>
      </c>
      <c r="N168" s="137">
        <f t="shared" si="7"/>
        <v>0</v>
      </c>
      <c r="O168" s="132">
        <f t="shared" si="8"/>
        <v>0</v>
      </c>
    </row>
    <row r="169" spans="1:15" x14ac:dyDescent="0.3">
      <c r="A169" s="365"/>
      <c r="B169" s="365"/>
      <c r="C169" s="366"/>
      <c r="D169" s="367"/>
      <c r="E169" s="368"/>
      <c r="F169" s="368"/>
      <c r="G169" s="369"/>
      <c r="H169" s="369"/>
      <c r="I169" s="370"/>
      <c r="J169" s="370"/>
      <c r="K169" s="371"/>
      <c r="L169" s="371"/>
      <c r="M169" s="137">
        <f t="shared" si="6"/>
        <v>0</v>
      </c>
      <c r="N169" s="137">
        <f t="shared" si="7"/>
        <v>0</v>
      </c>
      <c r="O169" s="132">
        <f t="shared" si="8"/>
        <v>0</v>
      </c>
    </row>
    <row r="170" spans="1:15" x14ac:dyDescent="0.3">
      <c r="A170" s="365"/>
      <c r="B170" s="365"/>
      <c r="C170" s="366"/>
      <c r="D170" s="367"/>
      <c r="E170" s="368"/>
      <c r="F170" s="368"/>
      <c r="G170" s="369"/>
      <c r="H170" s="369"/>
      <c r="I170" s="370"/>
      <c r="J170" s="370"/>
      <c r="K170" s="371"/>
      <c r="L170" s="371"/>
      <c r="M170" s="137">
        <f t="shared" si="6"/>
        <v>0</v>
      </c>
      <c r="N170" s="137">
        <f t="shared" si="7"/>
        <v>0</v>
      </c>
      <c r="O170" s="132">
        <f t="shared" si="8"/>
        <v>0</v>
      </c>
    </row>
    <row r="171" spans="1:15" x14ac:dyDescent="0.3">
      <c r="A171" s="365"/>
      <c r="B171" s="365"/>
      <c r="C171" s="366"/>
      <c r="D171" s="367"/>
      <c r="E171" s="368"/>
      <c r="F171" s="368"/>
      <c r="G171" s="369"/>
      <c r="H171" s="369"/>
      <c r="I171" s="370"/>
      <c r="J171" s="370"/>
      <c r="K171" s="371"/>
      <c r="L171" s="371"/>
      <c r="M171" s="137">
        <f t="shared" si="6"/>
        <v>0</v>
      </c>
      <c r="N171" s="137">
        <f t="shared" si="7"/>
        <v>0</v>
      </c>
      <c r="O171" s="132">
        <f t="shared" si="8"/>
        <v>0</v>
      </c>
    </row>
    <row r="172" spans="1:15" x14ac:dyDescent="0.3">
      <c r="A172" s="365"/>
      <c r="B172" s="365"/>
      <c r="C172" s="366"/>
      <c r="D172" s="367"/>
      <c r="E172" s="368"/>
      <c r="F172" s="368"/>
      <c r="G172" s="369"/>
      <c r="H172" s="369"/>
      <c r="I172" s="370"/>
      <c r="J172" s="370"/>
      <c r="K172" s="371"/>
      <c r="L172" s="371"/>
      <c r="M172" s="137">
        <f t="shared" si="6"/>
        <v>0</v>
      </c>
      <c r="N172" s="137">
        <f t="shared" si="7"/>
        <v>0</v>
      </c>
      <c r="O172" s="132">
        <f t="shared" si="8"/>
        <v>0</v>
      </c>
    </row>
    <row r="173" spans="1:15" x14ac:dyDescent="0.3">
      <c r="A173" s="365"/>
      <c r="B173" s="365"/>
      <c r="C173" s="366"/>
      <c r="D173" s="367"/>
      <c r="E173" s="368"/>
      <c r="F173" s="368"/>
      <c r="G173" s="369"/>
      <c r="H173" s="369"/>
      <c r="I173" s="370"/>
      <c r="J173" s="370"/>
      <c r="K173" s="371"/>
      <c r="L173" s="371"/>
      <c r="M173" s="137">
        <f t="shared" si="6"/>
        <v>0</v>
      </c>
      <c r="N173" s="137">
        <f t="shared" si="7"/>
        <v>0</v>
      </c>
      <c r="O173" s="132">
        <f t="shared" si="8"/>
        <v>0</v>
      </c>
    </row>
    <row r="174" spans="1:15" x14ac:dyDescent="0.3">
      <c r="A174" s="365"/>
      <c r="B174" s="365"/>
      <c r="C174" s="366"/>
      <c r="D174" s="367"/>
      <c r="E174" s="368"/>
      <c r="F174" s="368"/>
      <c r="G174" s="369"/>
      <c r="H174" s="369"/>
      <c r="I174" s="370"/>
      <c r="J174" s="370"/>
      <c r="K174" s="371"/>
      <c r="L174" s="371"/>
      <c r="M174" s="137">
        <f t="shared" si="6"/>
        <v>0</v>
      </c>
      <c r="N174" s="137">
        <f t="shared" si="7"/>
        <v>0</v>
      </c>
      <c r="O174" s="132">
        <f t="shared" si="8"/>
        <v>0</v>
      </c>
    </row>
    <row r="175" spans="1:15" x14ac:dyDescent="0.3">
      <c r="A175" s="365"/>
      <c r="B175" s="365"/>
      <c r="C175" s="366"/>
      <c r="D175" s="367"/>
      <c r="E175" s="368"/>
      <c r="F175" s="368"/>
      <c r="G175" s="369"/>
      <c r="H175" s="369"/>
      <c r="I175" s="370"/>
      <c r="J175" s="370"/>
      <c r="K175" s="371"/>
      <c r="L175" s="371"/>
      <c r="M175" s="137">
        <f t="shared" si="6"/>
        <v>0</v>
      </c>
      <c r="N175" s="137">
        <f t="shared" si="7"/>
        <v>0</v>
      </c>
      <c r="O175" s="132">
        <f t="shared" si="8"/>
        <v>0</v>
      </c>
    </row>
    <row r="176" spans="1:15" x14ac:dyDescent="0.3">
      <c r="A176" s="365"/>
      <c r="B176" s="365"/>
      <c r="C176" s="366"/>
      <c r="D176" s="367"/>
      <c r="E176" s="368"/>
      <c r="F176" s="368"/>
      <c r="G176" s="369"/>
      <c r="H176" s="369"/>
      <c r="I176" s="370"/>
      <c r="J176" s="370"/>
      <c r="K176" s="371"/>
      <c r="L176" s="371"/>
      <c r="M176" s="137">
        <f t="shared" si="6"/>
        <v>0</v>
      </c>
      <c r="N176" s="137">
        <f t="shared" si="7"/>
        <v>0</v>
      </c>
      <c r="O176" s="131">
        <f t="shared" si="8"/>
        <v>0</v>
      </c>
    </row>
    <row r="177" spans="1:15" x14ac:dyDescent="0.3">
      <c r="A177" s="365"/>
      <c r="B177" s="365"/>
      <c r="C177" s="366"/>
      <c r="D177" s="367"/>
      <c r="E177" s="368"/>
      <c r="F177" s="368"/>
      <c r="G177" s="369"/>
      <c r="H177" s="369"/>
      <c r="I177" s="370"/>
      <c r="J177" s="370"/>
      <c r="K177" s="371"/>
      <c r="L177" s="371"/>
      <c r="M177" s="137">
        <f t="shared" si="6"/>
        <v>0</v>
      </c>
      <c r="N177" s="137">
        <f t="shared" si="7"/>
        <v>0</v>
      </c>
      <c r="O177" s="132">
        <f t="shared" si="8"/>
        <v>0</v>
      </c>
    </row>
    <row r="178" spans="1:15" x14ac:dyDescent="0.3">
      <c r="A178" s="365"/>
      <c r="B178" s="365"/>
      <c r="C178" s="366"/>
      <c r="D178" s="367"/>
      <c r="E178" s="368"/>
      <c r="F178" s="368"/>
      <c r="G178" s="369"/>
      <c r="H178" s="369"/>
      <c r="I178" s="370"/>
      <c r="J178" s="370"/>
      <c r="K178" s="371"/>
      <c r="L178" s="371"/>
      <c r="M178" s="137">
        <f t="shared" si="6"/>
        <v>0</v>
      </c>
      <c r="N178" s="137">
        <f t="shared" si="7"/>
        <v>0</v>
      </c>
      <c r="O178" s="132">
        <f t="shared" si="8"/>
        <v>0</v>
      </c>
    </row>
    <row r="179" spans="1:15" x14ac:dyDescent="0.3">
      <c r="A179" s="365"/>
      <c r="B179" s="365"/>
      <c r="C179" s="366"/>
      <c r="D179" s="367"/>
      <c r="E179" s="368"/>
      <c r="F179" s="368"/>
      <c r="G179" s="369"/>
      <c r="H179" s="369"/>
      <c r="I179" s="370"/>
      <c r="J179" s="370"/>
      <c r="K179" s="371"/>
      <c r="L179" s="371"/>
      <c r="M179" s="137">
        <f t="shared" si="6"/>
        <v>0</v>
      </c>
      <c r="N179" s="137">
        <f t="shared" si="7"/>
        <v>0</v>
      </c>
      <c r="O179" s="132">
        <f t="shared" si="8"/>
        <v>0</v>
      </c>
    </row>
    <row r="180" spans="1:15" x14ac:dyDescent="0.3">
      <c r="A180" s="365"/>
      <c r="B180" s="365"/>
      <c r="C180" s="366"/>
      <c r="D180" s="367"/>
      <c r="E180" s="368"/>
      <c r="F180" s="368"/>
      <c r="G180" s="369"/>
      <c r="H180" s="369"/>
      <c r="I180" s="370"/>
      <c r="J180" s="370"/>
      <c r="K180" s="371"/>
      <c r="L180" s="371"/>
      <c r="M180" s="137">
        <f t="shared" si="6"/>
        <v>0</v>
      </c>
      <c r="N180" s="137">
        <f t="shared" si="7"/>
        <v>0</v>
      </c>
      <c r="O180" s="132">
        <f t="shared" si="8"/>
        <v>0</v>
      </c>
    </row>
    <row r="181" spans="1:15" x14ac:dyDescent="0.3">
      <c r="A181" s="365"/>
      <c r="B181" s="365"/>
      <c r="C181" s="366"/>
      <c r="D181" s="367"/>
      <c r="E181" s="368"/>
      <c r="F181" s="368"/>
      <c r="G181" s="369"/>
      <c r="H181" s="369"/>
      <c r="I181" s="370"/>
      <c r="J181" s="370"/>
      <c r="K181" s="371"/>
      <c r="L181" s="371"/>
      <c r="M181" s="137">
        <f t="shared" si="6"/>
        <v>0</v>
      </c>
      <c r="N181" s="137">
        <f t="shared" si="7"/>
        <v>0</v>
      </c>
      <c r="O181" s="132">
        <f t="shared" si="8"/>
        <v>0</v>
      </c>
    </row>
    <row r="182" spans="1:15" x14ac:dyDescent="0.3">
      <c r="A182" s="365"/>
      <c r="B182" s="365"/>
      <c r="C182" s="366"/>
      <c r="D182" s="367"/>
      <c r="E182" s="368"/>
      <c r="F182" s="368"/>
      <c r="G182" s="369"/>
      <c r="H182" s="369"/>
      <c r="I182" s="370"/>
      <c r="J182" s="370"/>
      <c r="K182" s="371"/>
      <c r="L182" s="371"/>
      <c r="M182" s="137">
        <f t="shared" si="6"/>
        <v>0</v>
      </c>
      <c r="N182" s="137">
        <f t="shared" si="7"/>
        <v>0</v>
      </c>
      <c r="O182" s="132">
        <f t="shared" si="8"/>
        <v>0</v>
      </c>
    </row>
    <row r="183" spans="1:15" x14ac:dyDescent="0.3">
      <c r="A183" s="365"/>
      <c r="B183" s="365"/>
      <c r="C183" s="366"/>
      <c r="D183" s="367"/>
      <c r="E183" s="368"/>
      <c r="F183" s="368"/>
      <c r="G183" s="369"/>
      <c r="H183" s="369"/>
      <c r="I183" s="370"/>
      <c r="J183" s="370"/>
      <c r="K183" s="371"/>
      <c r="L183" s="371"/>
      <c r="M183" s="137">
        <f t="shared" si="6"/>
        <v>0</v>
      </c>
      <c r="N183" s="137">
        <f t="shared" si="7"/>
        <v>0</v>
      </c>
      <c r="O183" s="132">
        <f t="shared" si="8"/>
        <v>0</v>
      </c>
    </row>
    <row r="184" spans="1:15" x14ac:dyDescent="0.3">
      <c r="A184" s="365"/>
      <c r="B184" s="365"/>
      <c r="C184" s="366"/>
      <c r="D184" s="367"/>
      <c r="E184" s="368"/>
      <c r="F184" s="368"/>
      <c r="G184" s="369"/>
      <c r="H184" s="369"/>
      <c r="I184" s="370"/>
      <c r="J184" s="370"/>
      <c r="K184" s="371"/>
      <c r="L184" s="371"/>
      <c r="M184" s="137">
        <f t="shared" si="6"/>
        <v>0</v>
      </c>
      <c r="N184" s="137">
        <f t="shared" si="7"/>
        <v>0</v>
      </c>
      <c r="O184" s="132">
        <f t="shared" si="8"/>
        <v>0</v>
      </c>
    </row>
    <row r="185" spans="1:15" x14ac:dyDescent="0.3">
      <c r="A185" s="365"/>
      <c r="B185" s="365"/>
      <c r="C185" s="366"/>
      <c r="D185" s="367"/>
      <c r="E185" s="368"/>
      <c r="F185" s="368"/>
      <c r="G185" s="369"/>
      <c r="H185" s="369"/>
      <c r="I185" s="370"/>
      <c r="J185" s="370"/>
      <c r="K185" s="371"/>
      <c r="L185" s="371"/>
      <c r="M185" s="137">
        <f t="shared" si="6"/>
        <v>0</v>
      </c>
      <c r="N185" s="137">
        <f t="shared" si="7"/>
        <v>0</v>
      </c>
      <c r="O185" s="132">
        <f t="shared" si="8"/>
        <v>0</v>
      </c>
    </row>
    <row r="186" spans="1:15" x14ac:dyDescent="0.3">
      <c r="A186" s="365"/>
      <c r="B186" s="365"/>
      <c r="C186" s="366"/>
      <c r="D186" s="367"/>
      <c r="E186" s="368"/>
      <c r="F186" s="368"/>
      <c r="G186" s="369"/>
      <c r="H186" s="369"/>
      <c r="I186" s="370"/>
      <c r="J186" s="370"/>
      <c r="K186" s="371"/>
      <c r="L186" s="371"/>
      <c r="M186" s="137">
        <f t="shared" si="6"/>
        <v>0</v>
      </c>
      <c r="N186" s="137">
        <f t="shared" si="7"/>
        <v>0</v>
      </c>
      <c r="O186" s="132">
        <f t="shared" si="8"/>
        <v>0</v>
      </c>
    </row>
    <row r="187" spans="1:15" x14ac:dyDescent="0.3">
      <c r="A187" s="365"/>
      <c r="B187" s="365"/>
      <c r="C187" s="366"/>
      <c r="D187" s="367"/>
      <c r="E187" s="368"/>
      <c r="F187" s="368"/>
      <c r="G187" s="369"/>
      <c r="H187" s="369"/>
      <c r="I187" s="370"/>
      <c r="J187" s="370"/>
      <c r="K187" s="371"/>
      <c r="L187" s="371"/>
      <c r="M187" s="137">
        <f t="shared" si="6"/>
        <v>0</v>
      </c>
      <c r="N187" s="137">
        <f t="shared" si="7"/>
        <v>0</v>
      </c>
      <c r="O187" s="132">
        <f t="shared" si="8"/>
        <v>0</v>
      </c>
    </row>
    <row r="188" spans="1:15" x14ac:dyDescent="0.3">
      <c r="A188" s="365"/>
      <c r="B188" s="365"/>
      <c r="C188" s="366"/>
      <c r="D188" s="367"/>
      <c r="E188" s="368"/>
      <c r="F188" s="368"/>
      <c r="G188" s="369"/>
      <c r="H188" s="369"/>
      <c r="I188" s="370"/>
      <c r="J188" s="370"/>
      <c r="K188" s="371"/>
      <c r="L188" s="371"/>
      <c r="M188" s="137">
        <f t="shared" si="6"/>
        <v>0</v>
      </c>
      <c r="N188" s="137">
        <f t="shared" si="7"/>
        <v>0</v>
      </c>
      <c r="O188" s="132">
        <f t="shared" si="8"/>
        <v>0</v>
      </c>
    </row>
    <row r="189" spans="1:15" x14ac:dyDescent="0.3">
      <c r="A189" s="365"/>
      <c r="B189" s="365"/>
      <c r="C189" s="366"/>
      <c r="D189" s="367"/>
      <c r="E189" s="368"/>
      <c r="F189" s="368"/>
      <c r="G189" s="369"/>
      <c r="H189" s="369"/>
      <c r="I189" s="370"/>
      <c r="J189" s="370"/>
      <c r="K189" s="371"/>
      <c r="L189" s="371"/>
      <c r="M189" s="137">
        <f t="shared" si="6"/>
        <v>0</v>
      </c>
      <c r="N189" s="137">
        <f t="shared" si="7"/>
        <v>0</v>
      </c>
      <c r="O189" s="132">
        <f t="shared" si="8"/>
        <v>0</v>
      </c>
    </row>
    <row r="190" spans="1:15" x14ac:dyDescent="0.3">
      <c r="A190" s="365"/>
      <c r="B190" s="365"/>
      <c r="C190" s="366"/>
      <c r="D190" s="367"/>
      <c r="E190" s="368"/>
      <c r="F190" s="368"/>
      <c r="G190" s="369"/>
      <c r="H190" s="369"/>
      <c r="I190" s="370"/>
      <c r="J190" s="370"/>
      <c r="K190" s="371"/>
      <c r="L190" s="371"/>
      <c r="M190" s="137">
        <f t="shared" si="6"/>
        <v>0</v>
      </c>
      <c r="N190" s="137">
        <f t="shared" si="7"/>
        <v>0</v>
      </c>
      <c r="O190" s="132">
        <f t="shared" si="8"/>
        <v>0</v>
      </c>
    </row>
    <row r="191" spans="1:15" x14ac:dyDescent="0.3">
      <c r="A191" s="365"/>
      <c r="B191" s="365"/>
      <c r="C191" s="366"/>
      <c r="D191" s="367"/>
      <c r="E191" s="368"/>
      <c r="F191" s="368"/>
      <c r="G191" s="369"/>
      <c r="H191" s="369"/>
      <c r="I191" s="370"/>
      <c r="J191" s="370"/>
      <c r="K191" s="371"/>
      <c r="L191" s="371"/>
      <c r="M191" s="137">
        <f t="shared" si="6"/>
        <v>0</v>
      </c>
      <c r="N191" s="137">
        <f t="shared" si="7"/>
        <v>0</v>
      </c>
      <c r="O191" s="132">
        <f t="shared" si="8"/>
        <v>0</v>
      </c>
    </row>
    <row r="192" spans="1:15" x14ac:dyDescent="0.3">
      <c r="A192" s="365"/>
      <c r="B192" s="365"/>
      <c r="C192" s="366"/>
      <c r="D192" s="367"/>
      <c r="E192" s="368"/>
      <c r="F192" s="368"/>
      <c r="G192" s="369"/>
      <c r="H192" s="369"/>
      <c r="I192" s="370"/>
      <c r="J192" s="370"/>
      <c r="K192" s="371"/>
      <c r="L192" s="371"/>
      <c r="M192" s="137">
        <f t="shared" si="6"/>
        <v>0</v>
      </c>
      <c r="N192" s="137">
        <f t="shared" si="7"/>
        <v>0</v>
      </c>
      <c r="O192" s="132">
        <f t="shared" si="8"/>
        <v>0</v>
      </c>
    </row>
    <row r="193" spans="1:15" x14ac:dyDescent="0.3">
      <c r="A193" s="365"/>
      <c r="B193" s="365"/>
      <c r="C193" s="366"/>
      <c r="D193" s="367"/>
      <c r="E193" s="368"/>
      <c r="F193" s="368"/>
      <c r="G193" s="369"/>
      <c r="H193" s="369"/>
      <c r="I193" s="370"/>
      <c r="J193" s="370"/>
      <c r="K193" s="371"/>
      <c r="L193" s="371"/>
      <c r="M193" s="137">
        <f t="shared" si="6"/>
        <v>0</v>
      </c>
      <c r="N193" s="137">
        <f t="shared" si="7"/>
        <v>0</v>
      </c>
      <c r="O193" s="132">
        <f t="shared" si="8"/>
        <v>0</v>
      </c>
    </row>
    <row r="194" spans="1:15" x14ac:dyDescent="0.3">
      <c r="A194" s="365"/>
      <c r="B194" s="365"/>
      <c r="C194" s="366"/>
      <c r="D194" s="367"/>
      <c r="E194" s="368"/>
      <c r="F194" s="368"/>
      <c r="G194" s="369"/>
      <c r="H194" s="369"/>
      <c r="I194" s="370"/>
      <c r="J194" s="370"/>
      <c r="K194" s="371"/>
      <c r="L194" s="371"/>
      <c r="M194" s="137">
        <f t="shared" si="6"/>
        <v>0</v>
      </c>
      <c r="N194" s="137">
        <f t="shared" si="7"/>
        <v>0</v>
      </c>
      <c r="O194" s="132">
        <f t="shared" si="8"/>
        <v>0</v>
      </c>
    </row>
    <row r="195" spans="1:15" x14ac:dyDescent="0.3">
      <c r="A195" s="365"/>
      <c r="B195" s="365"/>
      <c r="C195" s="366"/>
      <c r="D195" s="367"/>
      <c r="E195" s="368"/>
      <c r="F195" s="368"/>
      <c r="G195" s="369"/>
      <c r="H195" s="369"/>
      <c r="I195" s="370"/>
      <c r="J195" s="370"/>
      <c r="K195" s="371"/>
      <c r="L195" s="371"/>
      <c r="M195" s="137">
        <f t="shared" si="6"/>
        <v>0</v>
      </c>
      <c r="N195" s="137">
        <f t="shared" si="7"/>
        <v>0</v>
      </c>
      <c r="O195" s="132">
        <f t="shared" si="8"/>
        <v>0</v>
      </c>
    </row>
    <row r="196" spans="1:15" x14ac:dyDescent="0.3">
      <c r="A196" s="365"/>
      <c r="B196" s="365"/>
      <c r="C196" s="366"/>
      <c r="D196" s="367"/>
      <c r="E196" s="368"/>
      <c r="F196" s="368"/>
      <c r="G196" s="369"/>
      <c r="H196" s="369"/>
      <c r="I196" s="370"/>
      <c r="J196" s="370"/>
      <c r="K196" s="371"/>
      <c r="L196" s="371"/>
      <c r="M196" s="137">
        <f t="shared" si="6"/>
        <v>0</v>
      </c>
      <c r="N196" s="137">
        <f t="shared" si="7"/>
        <v>0</v>
      </c>
      <c r="O196" s="132">
        <f t="shared" si="8"/>
        <v>0</v>
      </c>
    </row>
    <row r="197" spans="1:15" x14ac:dyDescent="0.3">
      <c r="A197" s="365"/>
      <c r="B197" s="365"/>
      <c r="C197" s="366"/>
      <c r="D197" s="367"/>
      <c r="E197" s="368"/>
      <c r="F197" s="368"/>
      <c r="G197" s="369"/>
      <c r="H197" s="369"/>
      <c r="I197" s="370"/>
      <c r="J197" s="370"/>
      <c r="K197" s="371"/>
      <c r="L197" s="371"/>
      <c r="M197" s="137">
        <f t="shared" ref="M197:M207" si="9">SUM(E197+G197+I197+K197)</f>
        <v>0</v>
      </c>
      <c r="N197" s="137">
        <f t="shared" ref="N197:N207" si="10">SUM(F197+H197+J197+L197)</f>
        <v>0</v>
      </c>
      <c r="O197" s="132">
        <f t="shared" si="8"/>
        <v>0</v>
      </c>
    </row>
    <row r="198" spans="1:15" x14ac:dyDescent="0.3">
      <c r="A198" s="365"/>
      <c r="B198" s="365"/>
      <c r="C198" s="366"/>
      <c r="D198" s="367"/>
      <c r="E198" s="368"/>
      <c r="F198" s="368"/>
      <c r="G198" s="369"/>
      <c r="H198" s="369"/>
      <c r="I198" s="370"/>
      <c r="J198" s="370"/>
      <c r="K198" s="371"/>
      <c r="L198" s="371"/>
      <c r="M198" s="137">
        <f t="shared" si="9"/>
        <v>0</v>
      </c>
      <c r="N198" s="137">
        <f t="shared" si="10"/>
        <v>0</v>
      </c>
      <c r="O198" s="132">
        <f t="shared" si="8"/>
        <v>0</v>
      </c>
    </row>
    <row r="199" spans="1:15" x14ac:dyDescent="0.3">
      <c r="A199" s="365"/>
      <c r="B199" s="365"/>
      <c r="C199" s="366"/>
      <c r="D199" s="367"/>
      <c r="E199" s="368"/>
      <c r="F199" s="368"/>
      <c r="G199" s="369"/>
      <c r="H199" s="369"/>
      <c r="I199" s="370"/>
      <c r="J199" s="370"/>
      <c r="K199" s="371"/>
      <c r="L199" s="371"/>
      <c r="M199" s="137">
        <f t="shared" si="9"/>
        <v>0</v>
      </c>
      <c r="N199" s="137">
        <f t="shared" si="10"/>
        <v>0</v>
      </c>
      <c r="O199" s="132">
        <f t="shared" si="8"/>
        <v>0</v>
      </c>
    </row>
    <row r="200" spans="1:15" x14ac:dyDescent="0.3">
      <c r="A200" s="365"/>
      <c r="B200" s="365"/>
      <c r="C200" s="366"/>
      <c r="D200" s="367"/>
      <c r="E200" s="368"/>
      <c r="F200" s="368"/>
      <c r="G200" s="369"/>
      <c r="H200" s="369"/>
      <c r="I200" s="370"/>
      <c r="J200" s="370"/>
      <c r="K200" s="371"/>
      <c r="L200" s="371"/>
      <c r="M200" s="137">
        <f t="shared" si="9"/>
        <v>0</v>
      </c>
      <c r="N200" s="137">
        <f t="shared" si="10"/>
        <v>0</v>
      </c>
      <c r="O200" s="132">
        <f t="shared" si="8"/>
        <v>0</v>
      </c>
    </row>
    <row r="201" spans="1:15" x14ac:dyDescent="0.3">
      <c r="A201" s="365"/>
      <c r="B201" s="365"/>
      <c r="C201" s="366"/>
      <c r="D201" s="367"/>
      <c r="E201" s="368"/>
      <c r="F201" s="368"/>
      <c r="G201" s="369"/>
      <c r="H201" s="369"/>
      <c r="I201" s="370"/>
      <c r="J201" s="370"/>
      <c r="K201" s="371"/>
      <c r="L201" s="371"/>
      <c r="M201" s="137">
        <f t="shared" si="9"/>
        <v>0</v>
      </c>
      <c r="N201" s="137">
        <f t="shared" si="10"/>
        <v>0</v>
      </c>
      <c r="O201" s="132">
        <f t="shared" si="8"/>
        <v>0</v>
      </c>
    </row>
    <row r="202" spans="1:15" x14ac:dyDescent="0.3">
      <c r="A202" s="365"/>
      <c r="B202" s="365"/>
      <c r="C202" s="366"/>
      <c r="D202" s="367"/>
      <c r="E202" s="368"/>
      <c r="F202" s="368"/>
      <c r="G202" s="369"/>
      <c r="H202" s="369"/>
      <c r="I202" s="370"/>
      <c r="J202" s="370"/>
      <c r="K202" s="371"/>
      <c r="L202" s="371"/>
      <c r="M202" s="137">
        <f t="shared" si="9"/>
        <v>0</v>
      </c>
      <c r="N202" s="137">
        <f t="shared" si="10"/>
        <v>0</v>
      </c>
      <c r="O202" s="132">
        <f t="shared" si="8"/>
        <v>0</v>
      </c>
    </row>
    <row r="203" spans="1:15" x14ac:dyDescent="0.3">
      <c r="A203" s="365"/>
      <c r="B203" s="365"/>
      <c r="C203" s="366"/>
      <c r="D203" s="367"/>
      <c r="E203" s="368"/>
      <c r="F203" s="368"/>
      <c r="G203" s="369"/>
      <c r="H203" s="369"/>
      <c r="I203" s="370"/>
      <c r="J203" s="370"/>
      <c r="K203" s="371"/>
      <c r="L203" s="371"/>
      <c r="M203" s="137">
        <f t="shared" si="9"/>
        <v>0</v>
      </c>
      <c r="N203" s="137">
        <f t="shared" si="10"/>
        <v>0</v>
      </c>
      <c r="O203" s="132">
        <f t="shared" si="8"/>
        <v>0</v>
      </c>
    </row>
    <row r="204" spans="1:15" x14ac:dyDescent="0.3">
      <c r="A204" s="365"/>
      <c r="B204" s="365"/>
      <c r="C204" s="366"/>
      <c r="D204" s="367"/>
      <c r="E204" s="368"/>
      <c r="F204" s="368"/>
      <c r="G204" s="369"/>
      <c r="H204" s="369"/>
      <c r="I204" s="370"/>
      <c r="J204" s="370"/>
      <c r="K204" s="371"/>
      <c r="L204" s="371"/>
      <c r="M204" s="137">
        <f t="shared" si="9"/>
        <v>0</v>
      </c>
      <c r="N204" s="137">
        <f t="shared" si="10"/>
        <v>0</v>
      </c>
      <c r="O204" s="132">
        <f>SUM(M204+N204)</f>
        <v>0</v>
      </c>
    </row>
    <row r="205" spans="1:15" x14ac:dyDescent="0.3">
      <c r="A205" s="365"/>
      <c r="B205" s="365"/>
      <c r="C205" s="366"/>
      <c r="D205" s="367"/>
      <c r="E205" s="368"/>
      <c r="F205" s="368"/>
      <c r="G205" s="369"/>
      <c r="H205" s="369"/>
      <c r="I205" s="370"/>
      <c r="J205" s="370"/>
      <c r="K205" s="371"/>
      <c r="L205" s="371"/>
      <c r="M205" s="137">
        <f t="shared" si="9"/>
        <v>0</v>
      </c>
      <c r="N205" s="137">
        <f t="shared" si="10"/>
        <v>0</v>
      </c>
      <c r="O205" s="132">
        <f>SUM(M205+N205)</f>
        <v>0</v>
      </c>
    </row>
    <row r="206" spans="1:15" x14ac:dyDescent="0.3">
      <c r="A206" s="365"/>
      <c r="B206" s="365"/>
      <c r="C206" s="366"/>
      <c r="D206" s="367"/>
      <c r="E206" s="368"/>
      <c r="F206" s="368"/>
      <c r="G206" s="369"/>
      <c r="H206" s="369"/>
      <c r="I206" s="370"/>
      <c r="J206" s="370"/>
      <c r="K206" s="371"/>
      <c r="L206" s="371"/>
      <c r="M206" s="137">
        <f t="shared" si="9"/>
        <v>0</v>
      </c>
      <c r="N206" s="137">
        <f t="shared" si="10"/>
        <v>0</v>
      </c>
      <c r="O206" s="132">
        <f>SUM(M206+N206)</f>
        <v>0</v>
      </c>
    </row>
    <row r="207" spans="1:15" x14ac:dyDescent="0.3">
      <c r="A207" s="365"/>
      <c r="B207" s="365"/>
      <c r="C207" s="366"/>
      <c r="D207" s="367"/>
      <c r="E207" s="368"/>
      <c r="F207" s="368"/>
      <c r="G207" s="369"/>
      <c r="H207" s="369"/>
      <c r="I207" s="370"/>
      <c r="J207" s="370"/>
      <c r="K207" s="371"/>
      <c r="L207" s="371"/>
      <c r="M207" s="137">
        <f t="shared" si="9"/>
        <v>0</v>
      </c>
      <c r="N207" s="137">
        <f t="shared" si="10"/>
        <v>0</v>
      </c>
      <c r="O207" s="132">
        <f>SUM(M207+N207)</f>
        <v>0</v>
      </c>
    </row>
  </sheetData>
  <mergeCells count="10">
    <mergeCell ref="A1:A3"/>
    <mergeCell ref="B1:B3"/>
    <mergeCell ref="C1:C3"/>
    <mergeCell ref="D1:D3"/>
    <mergeCell ref="E1:N1"/>
    <mergeCell ref="E2:F2"/>
    <mergeCell ref="G2:H2"/>
    <mergeCell ref="I2:J2"/>
    <mergeCell ref="K2:L2"/>
    <mergeCell ref="M2:N2"/>
  </mergeCells>
  <pageMargins left="0.511811024" right="0.511811024" top="0.78740157499999996" bottom="0.78740157499999996" header="0.31496062000000002" footer="0.31496062000000002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9900"/>
  </sheetPr>
  <dimension ref="A1:C17"/>
  <sheetViews>
    <sheetView showGridLines="0" workbookViewId="0">
      <selection activeCell="B11" sqref="B11"/>
    </sheetView>
  </sheetViews>
  <sheetFormatPr defaultRowHeight="14.4" x14ac:dyDescent="0.3"/>
  <cols>
    <col min="1" max="1" width="29.44140625" bestFit="1" customWidth="1"/>
    <col min="2" max="3" width="89.88671875" customWidth="1"/>
  </cols>
  <sheetData>
    <row r="1" spans="1:3" ht="21.6" thickBot="1" x14ac:dyDescent="0.35">
      <c r="A1" s="592" t="s">
        <v>668</v>
      </c>
      <c r="B1" s="593"/>
      <c r="C1" s="594"/>
    </row>
    <row r="2" spans="1:3" ht="15" thickBot="1" x14ac:dyDescent="0.35">
      <c r="A2" s="595" t="s">
        <v>669</v>
      </c>
      <c r="B2" s="16" t="s">
        <v>670</v>
      </c>
      <c r="C2" s="17" t="s">
        <v>671</v>
      </c>
    </row>
    <row r="3" spans="1:3" ht="29.4" thickBot="1" x14ac:dyDescent="0.35">
      <c r="A3" s="596"/>
      <c r="B3" s="18" t="s">
        <v>672</v>
      </c>
      <c r="C3" s="17" t="s">
        <v>673</v>
      </c>
    </row>
    <row r="4" spans="1:3" x14ac:dyDescent="0.3">
      <c r="A4" s="56" t="s">
        <v>674</v>
      </c>
      <c r="B4" s="50"/>
      <c r="C4" s="51"/>
    </row>
    <row r="5" spans="1:3" x14ac:dyDescent="0.3">
      <c r="A5" s="80" t="s">
        <v>675</v>
      </c>
      <c r="B5" s="81"/>
      <c r="C5" s="82"/>
    </row>
    <row r="6" spans="1:3" x14ac:dyDescent="0.3">
      <c r="A6" s="57" t="s">
        <v>676</v>
      </c>
      <c r="B6" s="52"/>
      <c r="C6" s="53"/>
    </row>
    <row r="7" spans="1:3" x14ac:dyDescent="0.3">
      <c r="A7" s="57" t="s">
        <v>677</v>
      </c>
      <c r="B7" s="52"/>
      <c r="C7" s="53"/>
    </row>
    <row r="8" spans="1:3" x14ac:dyDescent="0.3">
      <c r="A8" s="57" t="s">
        <v>678</v>
      </c>
      <c r="B8" s="52"/>
      <c r="C8" s="53"/>
    </row>
    <row r="9" spans="1:3" x14ac:dyDescent="0.3">
      <c r="A9" s="57" t="s">
        <v>679</v>
      </c>
      <c r="B9" s="52"/>
      <c r="C9" s="53"/>
    </row>
    <row r="10" spans="1:3" x14ac:dyDescent="0.3">
      <c r="A10" s="57" t="s">
        <v>680</v>
      </c>
      <c r="B10" s="52"/>
      <c r="C10" s="53"/>
    </row>
    <row r="11" spans="1:3" x14ac:dyDescent="0.3">
      <c r="A11" s="57" t="s">
        <v>681</v>
      </c>
      <c r="B11" s="52"/>
      <c r="C11" s="53"/>
    </row>
    <row r="12" spans="1:3" x14ac:dyDescent="0.3">
      <c r="A12" s="48" t="s">
        <v>682</v>
      </c>
      <c r="B12" s="52"/>
      <c r="C12" s="53"/>
    </row>
    <row r="13" spans="1:3" x14ac:dyDescent="0.3">
      <c r="A13" s="48" t="s">
        <v>683</v>
      </c>
      <c r="B13" s="52"/>
      <c r="C13" s="53"/>
    </row>
    <row r="14" spans="1:3" x14ac:dyDescent="0.3">
      <c r="A14" s="48" t="s">
        <v>684</v>
      </c>
      <c r="B14" s="52"/>
      <c r="C14" s="53"/>
    </row>
    <row r="15" spans="1:3" ht="15" thickBot="1" x14ac:dyDescent="0.35">
      <c r="A15" s="49" t="s">
        <v>685</v>
      </c>
      <c r="B15" s="54"/>
      <c r="C15" s="55"/>
    </row>
    <row r="16" spans="1:3" x14ac:dyDescent="0.3">
      <c r="A16" s="597"/>
      <c r="B16" s="598"/>
      <c r="C16" s="599"/>
    </row>
    <row r="17" spans="1:3" ht="15.6" x14ac:dyDescent="0.3">
      <c r="A17" s="372" t="s">
        <v>686</v>
      </c>
      <c r="B17" s="373">
        <f>B4+B5+B6+B7+B8+B9+B10+B11+B12+B13+B14+B15</f>
        <v>0</v>
      </c>
      <c r="C17" s="373">
        <f>C4+C5+C6+C7+C8+C9+C10+C11+C12+C13+C14+C15</f>
        <v>0</v>
      </c>
    </row>
  </sheetData>
  <mergeCells count="3">
    <mergeCell ref="A1:C1"/>
    <mergeCell ref="A2:A3"/>
    <mergeCell ref="A16:C16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W67"/>
  <sheetViews>
    <sheetView showGridLines="0" workbookViewId="0">
      <selection activeCell="A5" sqref="A5"/>
    </sheetView>
  </sheetViews>
  <sheetFormatPr defaultRowHeight="14.4" x14ac:dyDescent="0.3"/>
  <cols>
    <col min="1" max="1" width="6.88671875" customWidth="1"/>
    <col min="2" max="2" width="32.88671875" customWidth="1"/>
    <col min="4" max="4" width="11.88671875" customWidth="1"/>
    <col min="5" max="5" width="13.5546875" customWidth="1"/>
    <col min="6" max="6" width="11.5546875" customWidth="1"/>
    <col min="7" max="7" width="19.6640625" customWidth="1"/>
    <col min="8" max="8" width="14" customWidth="1"/>
    <col min="9" max="9" width="10.33203125" customWidth="1"/>
    <col min="10" max="10" width="16.44140625" customWidth="1"/>
    <col min="11" max="11" width="34.109375" customWidth="1"/>
    <col min="12" max="12" width="28.109375" customWidth="1"/>
    <col min="13" max="13" width="25.44140625" customWidth="1"/>
    <col min="14" max="14" width="39.109375" customWidth="1"/>
    <col min="15" max="15" width="18.6640625" customWidth="1"/>
    <col min="16" max="16" width="18.44140625" customWidth="1"/>
    <col min="17" max="17" width="19.109375" customWidth="1"/>
    <col min="18" max="18" width="16.44140625" customWidth="1"/>
    <col min="19" max="19" width="20.33203125" customWidth="1"/>
    <col min="20" max="20" width="16.109375" customWidth="1"/>
    <col min="21" max="21" width="15.88671875" customWidth="1"/>
    <col min="22" max="22" width="25" customWidth="1"/>
    <col min="23" max="23" width="63.5546875" customWidth="1"/>
  </cols>
  <sheetData>
    <row r="1" spans="1:23" ht="21.6" thickBot="1" x14ac:dyDescent="0.35">
      <c r="A1" s="600" t="s">
        <v>687</v>
      </c>
      <c r="B1" s="600"/>
      <c r="C1" s="600"/>
      <c r="D1" s="601"/>
      <c r="E1" s="600"/>
      <c r="F1" s="600"/>
      <c r="G1" s="600"/>
      <c r="H1" s="600"/>
      <c r="I1" s="600"/>
      <c r="J1" s="600"/>
      <c r="K1" s="600"/>
      <c r="L1" s="600"/>
      <c r="M1" s="600"/>
      <c r="N1" s="600"/>
      <c r="O1" s="600"/>
      <c r="P1" s="600"/>
      <c r="Q1" s="600"/>
      <c r="R1" s="600"/>
      <c r="S1" s="600"/>
      <c r="T1" s="600"/>
      <c r="U1" s="600"/>
      <c r="V1" s="600"/>
      <c r="W1" s="602"/>
    </row>
    <row r="2" spans="1:23" ht="130.5" customHeight="1" thickBot="1" x14ac:dyDescent="0.35">
      <c r="A2" s="147" t="s">
        <v>688</v>
      </c>
      <c r="B2" s="148" t="s">
        <v>689</v>
      </c>
      <c r="C2" s="149" t="s">
        <v>690</v>
      </c>
      <c r="D2" s="148" t="s">
        <v>691</v>
      </c>
      <c r="E2" s="149" t="s">
        <v>692</v>
      </c>
      <c r="F2" s="150" t="s">
        <v>231</v>
      </c>
      <c r="G2" s="150" t="s">
        <v>28</v>
      </c>
      <c r="H2" s="150" t="s">
        <v>693</v>
      </c>
      <c r="I2" s="148" t="s">
        <v>235</v>
      </c>
      <c r="J2" s="150" t="s">
        <v>694</v>
      </c>
      <c r="K2" s="148" t="s">
        <v>695</v>
      </c>
      <c r="L2" s="149" t="s">
        <v>696</v>
      </c>
      <c r="M2" s="150" t="s">
        <v>697</v>
      </c>
      <c r="N2" s="150" t="s">
        <v>698</v>
      </c>
      <c r="O2" s="150" t="s">
        <v>699</v>
      </c>
      <c r="P2" s="148" t="s">
        <v>700</v>
      </c>
      <c r="Q2" s="149" t="s">
        <v>701</v>
      </c>
      <c r="R2" s="148" t="s">
        <v>702</v>
      </c>
      <c r="S2" s="148" t="s">
        <v>703</v>
      </c>
      <c r="T2" s="149" t="s">
        <v>704</v>
      </c>
      <c r="U2" s="150" t="s">
        <v>705</v>
      </c>
      <c r="V2" s="150" t="s">
        <v>706</v>
      </c>
      <c r="W2" s="374" t="s">
        <v>707</v>
      </c>
    </row>
    <row r="3" spans="1:23" s="66" customFormat="1" ht="43.2" x14ac:dyDescent="0.3">
      <c r="A3" s="64"/>
      <c r="B3" s="375" t="s">
        <v>708</v>
      </c>
      <c r="C3" s="376" t="s">
        <v>258</v>
      </c>
      <c r="D3" s="65">
        <v>81</v>
      </c>
      <c r="E3" s="377">
        <v>21746</v>
      </c>
      <c r="F3" s="376" t="s">
        <v>92</v>
      </c>
      <c r="G3" s="376"/>
      <c r="H3" s="376" t="s">
        <v>511</v>
      </c>
      <c r="I3" s="376" t="s">
        <v>101</v>
      </c>
      <c r="J3" s="376" t="s">
        <v>709</v>
      </c>
      <c r="K3" s="377"/>
      <c r="L3" s="377" t="s">
        <v>710</v>
      </c>
      <c r="M3" s="378" t="s">
        <v>711</v>
      </c>
      <c r="N3" s="379" t="s">
        <v>712</v>
      </c>
      <c r="O3" s="376"/>
      <c r="P3" s="20"/>
      <c r="Q3" s="376"/>
      <c r="R3" s="376"/>
      <c r="S3" s="376"/>
      <c r="T3" s="376"/>
      <c r="U3" s="376"/>
      <c r="V3" s="376" t="s">
        <v>713</v>
      </c>
      <c r="W3" s="210" t="s">
        <v>714</v>
      </c>
    </row>
    <row r="4" spans="1:23" s="66" customFormat="1" x14ac:dyDescent="0.3">
      <c r="A4" s="64"/>
      <c r="B4" s="380" t="s">
        <v>715</v>
      </c>
      <c r="C4" s="376" t="s">
        <v>258</v>
      </c>
      <c r="D4" s="210">
        <v>5209</v>
      </c>
      <c r="E4" s="377">
        <v>28296</v>
      </c>
      <c r="F4" s="376" t="s">
        <v>92</v>
      </c>
      <c r="G4" s="376"/>
      <c r="H4" s="376" t="s">
        <v>511</v>
      </c>
      <c r="I4" s="376" t="s">
        <v>101</v>
      </c>
      <c r="J4" s="376" t="s">
        <v>709</v>
      </c>
      <c r="K4" s="381"/>
      <c r="L4" s="377"/>
      <c r="M4" s="376" t="s">
        <v>716</v>
      </c>
      <c r="N4" s="376" t="s">
        <v>717</v>
      </c>
      <c r="O4" s="376"/>
      <c r="P4" s="20"/>
      <c r="Q4" s="376"/>
      <c r="R4" s="376"/>
      <c r="S4" s="376"/>
      <c r="T4" s="376"/>
      <c r="U4" s="376"/>
      <c r="V4" s="376" t="s">
        <v>713</v>
      </c>
      <c r="W4" s="210" t="s">
        <v>714</v>
      </c>
    </row>
    <row r="5" spans="1:23" s="66" customFormat="1" x14ac:dyDescent="0.3">
      <c r="A5" s="64"/>
      <c r="B5" s="380" t="s">
        <v>718</v>
      </c>
      <c r="C5" s="376" t="s">
        <v>254</v>
      </c>
      <c r="D5" s="210">
        <v>311</v>
      </c>
      <c r="E5" s="377">
        <v>30152</v>
      </c>
      <c r="F5" s="376" t="s">
        <v>92</v>
      </c>
      <c r="G5" s="376"/>
      <c r="H5" s="376" t="s">
        <v>511</v>
      </c>
      <c r="I5" s="376" t="s">
        <v>101</v>
      </c>
      <c r="J5" s="376"/>
      <c r="K5" s="381"/>
      <c r="L5" s="377" t="s">
        <v>710</v>
      </c>
      <c r="M5" s="376" t="s">
        <v>719</v>
      </c>
      <c r="N5" s="376" t="s">
        <v>720</v>
      </c>
      <c r="O5" s="376"/>
      <c r="P5" s="20"/>
      <c r="Q5" s="376"/>
      <c r="R5" s="376"/>
      <c r="S5" s="376"/>
      <c r="T5" s="376"/>
      <c r="U5" s="376"/>
      <c r="V5" s="376" t="s">
        <v>713</v>
      </c>
      <c r="W5" s="210" t="s">
        <v>714</v>
      </c>
    </row>
    <row r="6" spans="1:23" s="66" customFormat="1" x14ac:dyDescent="0.3">
      <c r="A6" s="64"/>
      <c r="B6" s="380" t="s">
        <v>721</v>
      </c>
      <c r="C6" s="376" t="s">
        <v>258</v>
      </c>
      <c r="D6" s="210">
        <v>5106</v>
      </c>
      <c r="E6" s="377">
        <v>28698</v>
      </c>
      <c r="F6" s="376" t="s">
        <v>92</v>
      </c>
      <c r="G6" s="376"/>
      <c r="H6" s="376" t="s">
        <v>511</v>
      </c>
      <c r="I6" s="376" t="s">
        <v>101</v>
      </c>
      <c r="J6" s="376" t="s">
        <v>709</v>
      </c>
      <c r="K6" s="381"/>
      <c r="L6" s="377" t="s">
        <v>710</v>
      </c>
      <c r="M6" s="376"/>
      <c r="N6" s="376" t="s">
        <v>722</v>
      </c>
      <c r="O6" s="376"/>
      <c r="P6" s="376"/>
      <c r="Q6" s="376"/>
      <c r="R6" s="376"/>
      <c r="S6" s="376"/>
      <c r="T6" s="376"/>
      <c r="U6" s="376"/>
      <c r="V6" s="376" t="s">
        <v>713</v>
      </c>
      <c r="W6" s="210" t="s">
        <v>714</v>
      </c>
    </row>
    <row r="7" spans="1:23" s="66" customFormat="1" x14ac:dyDescent="0.3">
      <c r="A7" s="64"/>
      <c r="B7" s="380"/>
      <c r="C7" s="376"/>
      <c r="D7" s="210"/>
      <c r="E7" s="377"/>
      <c r="F7" s="376"/>
      <c r="G7" s="376"/>
      <c r="H7" s="376"/>
      <c r="I7" s="376"/>
      <c r="J7" s="376"/>
      <c r="K7" s="381"/>
      <c r="L7" s="377"/>
      <c r="M7" s="376"/>
      <c r="N7" s="376"/>
      <c r="O7" s="376"/>
      <c r="P7" s="20"/>
      <c r="Q7" s="376"/>
      <c r="R7" s="376"/>
      <c r="S7" s="376"/>
      <c r="T7" s="376"/>
      <c r="U7" s="376"/>
      <c r="V7" s="376"/>
      <c r="W7" s="210"/>
    </row>
    <row r="8" spans="1:23" s="66" customFormat="1" x14ac:dyDescent="0.3">
      <c r="A8" s="64"/>
      <c r="B8" s="380"/>
      <c r="C8" s="376"/>
      <c r="D8" s="210"/>
      <c r="E8" s="377"/>
      <c r="F8" s="376"/>
      <c r="G8" s="376"/>
      <c r="H8" s="376"/>
      <c r="I8" s="376"/>
      <c r="J8" s="376"/>
      <c r="K8" s="381"/>
      <c r="L8" s="377"/>
      <c r="M8" s="376"/>
      <c r="N8" s="21"/>
      <c r="O8" s="376"/>
      <c r="P8" s="20"/>
      <c r="Q8" s="376"/>
      <c r="R8" s="376"/>
      <c r="S8" s="376"/>
      <c r="T8" s="376"/>
      <c r="U8" s="376"/>
      <c r="V8" s="376"/>
      <c r="W8" s="210"/>
    </row>
    <row r="9" spans="1:23" s="66" customFormat="1" x14ac:dyDescent="0.3">
      <c r="A9" s="64"/>
      <c r="B9" s="380"/>
      <c r="C9" s="376"/>
      <c r="D9" s="210"/>
      <c r="E9" s="377"/>
      <c r="F9" s="376"/>
      <c r="G9" s="376"/>
      <c r="H9" s="376"/>
      <c r="I9" s="376"/>
      <c r="J9" s="376"/>
      <c r="K9" s="381"/>
      <c r="L9" s="377"/>
      <c r="M9" s="376"/>
      <c r="N9" s="376"/>
      <c r="O9" s="376"/>
      <c r="P9" s="20"/>
      <c r="Q9" s="376"/>
      <c r="R9" s="376"/>
      <c r="S9" s="376"/>
      <c r="T9" s="376"/>
      <c r="U9" s="376"/>
      <c r="V9" s="376"/>
      <c r="W9" s="210"/>
    </row>
    <row r="10" spans="1:23" s="66" customFormat="1" x14ac:dyDescent="0.3">
      <c r="A10" s="64"/>
      <c r="B10" s="380"/>
      <c r="C10" s="376"/>
      <c r="D10" s="210"/>
      <c r="E10" s="377"/>
      <c r="F10" s="376"/>
      <c r="G10" s="376"/>
      <c r="H10" s="376"/>
      <c r="I10" s="376"/>
      <c r="J10" s="376"/>
      <c r="K10" s="382"/>
      <c r="L10" s="376"/>
      <c r="M10" s="376"/>
      <c r="N10" s="376"/>
      <c r="O10" s="376"/>
      <c r="P10" s="20"/>
      <c r="Q10" s="376"/>
      <c r="R10" s="376"/>
      <c r="S10" s="376"/>
      <c r="T10" s="376"/>
      <c r="U10" s="376"/>
      <c r="V10" s="376"/>
      <c r="W10" s="210"/>
    </row>
    <row r="11" spans="1:23" s="66" customFormat="1" x14ac:dyDescent="0.3">
      <c r="A11" s="64"/>
      <c r="B11" s="380"/>
      <c r="C11" s="376"/>
      <c r="D11" s="210"/>
      <c r="E11" s="377"/>
      <c r="F11" s="376"/>
      <c r="G11" s="376"/>
      <c r="H11" s="376"/>
      <c r="I11" s="376"/>
      <c r="J11" s="376"/>
      <c r="K11" s="377"/>
      <c r="L11" s="377"/>
      <c r="M11" s="376"/>
      <c r="N11" s="22"/>
      <c r="O11" s="376"/>
      <c r="P11" s="20"/>
      <c r="Q11" s="376"/>
      <c r="R11" s="376"/>
      <c r="S11" s="376"/>
      <c r="T11" s="376"/>
      <c r="U11" s="376"/>
      <c r="V11" s="376"/>
      <c r="W11" s="210"/>
    </row>
    <row r="12" spans="1:23" s="66" customFormat="1" x14ac:dyDescent="0.3">
      <c r="A12" s="64"/>
      <c r="B12" s="380"/>
      <c r="C12" s="376"/>
      <c r="D12" s="210"/>
      <c r="E12" s="377"/>
      <c r="F12" s="376"/>
      <c r="G12" s="376"/>
      <c r="H12" s="376"/>
      <c r="I12" s="376"/>
      <c r="J12" s="376"/>
      <c r="K12" s="377"/>
      <c r="L12" s="383"/>
      <c r="M12" s="376"/>
      <c r="N12" s="22"/>
      <c r="O12" s="376"/>
      <c r="P12" s="20"/>
      <c r="Q12" s="376"/>
      <c r="R12" s="376"/>
      <c r="S12" s="376"/>
      <c r="T12" s="376"/>
      <c r="U12" s="376"/>
      <c r="V12" s="376"/>
      <c r="W12" s="210"/>
    </row>
    <row r="13" spans="1:23" s="66" customFormat="1" x14ac:dyDescent="0.3">
      <c r="A13" s="64"/>
      <c r="B13" s="380"/>
      <c r="C13" s="376"/>
      <c r="D13" s="210"/>
      <c r="E13" s="377"/>
      <c r="F13" s="376"/>
      <c r="G13" s="376"/>
      <c r="H13" s="376"/>
      <c r="I13" s="376"/>
      <c r="J13" s="376"/>
      <c r="K13" s="381"/>
      <c r="L13" s="377"/>
      <c r="M13" s="376"/>
      <c r="N13" s="22"/>
      <c r="O13" s="376"/>
      <c r="P13" s="20"/>
      <c r="Q13" s="376"/>
      <c r="R13" s="376"/>
      <c r="S13" s="376"/>
      <c r="T13" s="376"/>
      <c r="U13" s="376"/>
      <c r="V13" s="376"/>
      <c r="W13" s="210"/>
    </row>
    <row r="14" spans="1:23" s="66" customFormat="1" x14ac:dyDescent="0.3">
      <c r="A14" s="64"/>
      <c r="B14" s="380"/>
      <c r="C14" s="376"/>
      <c r="D14" s="210"/>
      <c r="E14" s="377"/>
      <c r="F14" s="376"/>
      <c r="G14" s="376"/>
      <c r="H14" s="376"/>
      <c r="I14" s="376"/>
      <c r="J14" s="376"/>
      <c r="K14" s="377"/>
      <c r="L14" s="383"/>
      <c r="M14" s="376"/>
      <c r="N14" s="22"/>
      <c r="O14" s="376"/>
      <c r="P14" s="20"/>
      <c r="Q14" s="376"/>
      <c r="R14" s="376"/>
      <c r="S14" s="376"/>
      <c r="T14" s="376"/>
      <c r="U14" s="376"/>
      <c r="V14" s="376"/>
      <c r="W14" s="210"/>
    </row>
    <row r="15" spans="1:23" s="66" customFormat="1" x14ac:dyDescent="0.3">
      <c r="A15" s="64"/>
      <c r="B15" s="380"/>
      <c r="C15" s="376"/>
      <c r="D15" s="210"/>
      <c r="E15" s="377"/>
      <c r="F15" s="376"/>
      <c r="G15" s="376"/>
      <c r="H15" s="376"/>
      <c r="I15" s="376"/>
      <c r="J15" s="376"/>
      <c r="K15" s="377"/>
      <c r="L15" s="383"/>
      <c r="M15" s="376"/>
      <c r="N15" s="22"/>
      <c r="O15" s="376"/>
      <c r="P15" s="20"/>
      <c r="Q15" s="376"/>
      <c r="R15" s="376"/>
      <c r="S15" s="376"/>
      <c r="T15" s="376"/>
      <c r="U15" s="376"/>
      <c r="V15" s="376"/>
      <c r="W15" s="210"/>
    </row>
    <row r="16" spans="1:23" s="66" customFormat="1" x14ac:dyDescent="0.3">
      <c r="A16" s="64"/>
      <c r="B16" s="380"/>
      <c r="C16" s="376"/>
      <c r="D16" s="210"/>
      <c r="E16" s="377"/>
      <c r="F16" s="376"/>
      <c r="G16" s="376"/>
      <c r="H16" s="376"/>
      <c r="I16" s="376"/>
      <c r="J16" s="376"/>
      <c r="K16" s="381"/>
      <c r="L16" s="376"/>
      <c r="M16" s="376"/>
      <c r="N16" s="23"/>
      <c r="O16" s="376"/>
      <c r="P16" s="20"/>
      <c r="Q16" s="376"/>
      <c r="R16" s="376"/>
      <c r="S16" s="376"/>
      <c r="T16" s="376"/>
      <c r="U16" s="376"/>
      <c r="V16" s="376"/>
      <c r="W16" s="210"/>
    </row>
    <row r="17" spans="1:23" s="66" customFormat="1" x14ac:dyDescent="0.3">
      <c r="A17" s="64"/>
      <c r="B17" s="380"/>
      <c r="C17" s="376"/>
      <c r="D17" s="210"/>
      <c r="E17" s="377"/>
      <c r="F17" s="384"/>
      <c r="G17" s="384"/>
      <c r="H17" s="384"/>
      <c r="I17" s="384"/>
      <c r="J17" s="376"/>
      <c r="K17" s="381"/>
      <c r="L17" s="384"/>
      <c r="M17" s="384"/>
      <c r="N17" s="24"/>
      <c r="O17" s="376"/>
      <c r="P17" s="385"/>
      <c r="Q17" s="376"/>
      <c r="R17" s="384"/>
      <c r="S17" s="376"/>
      <c r="T17" s="376"/>
      <c r="U17" s="376"/>
      <c r="V17" s="376"/>
      <c r="W17" s="210"/>
    </row>
    <row r="18" spans="1:23" s="66" customFormat="1" x14ac:dyDescent="0.3">
      <c r="A18" s="64"/>
      <c r="B18" s="25"/>
      <c r="C18" s="376"/>
      <c r="D18" s="210"/>
      <c r="E18" s="377"/>
      <c r="F18" s="376"/>
      <c r="G18" s="376"/>
      <c r="H18" s="376"/>
      <c r="I18" s="376"/>
      <c r="J18" s="376"/>
      <c r="K18" s="381"/>
      <c r="L18" s="376"/>
      <c r="M18" s="376"/>
      <c r="N18" s="386"/>
      <c r="O18" s="376"/>
      <c r="P18" s="376"/>
      <c r="Q18" s="376"/>
      <c r="R18" s="376"/>
      <c r="S18" s="376"/>
      <c r="T18" s="376"/>
      <c r="U18" s="376"/>
      <c r="V18" s="376"/>
      <c r="W18" s="210"/>
    </row>
    <row r="19" spans="1:23" s="66" customFormat="1" x14ac:dyDescent="0.3">
      <c r="A19" s="64"/>
      <c r="B19" s="380"/>
      <c r="C19" s="376"/>
      <c r="D19" s="210"/>
      <c r="E19" s="377"/>
      <c r="F19" s="376"/>
      <c r="G19" s="376"/>
      <c r="H19" s="376"/>
      <c r="I19" s="376"/>
      <c r="J19" s="376"/>
      <c r="K19" s="381"/>
      <c r="L19" s="376"/>
      <c r="M19" s="376"/>
      <c r="N19" s="386"/>
      <c r="O19" s="376"/>
      <c r="P19" s="376"/>
      <c r="Q19" s="376"/>
      <c r="R19" s="376"/>
      <c r="S19" s="376"/>
      <c r="T19" s="376"/>
      <c r="U19" s="376"/>
      <c r="V19" s="376"/>
      <c r="W19" s="210"/>
    </row>
    <row r="20" spans="1:23" s="66" customFormat="1" x14ac:dyDescent="0.3">
      <c r="A20" s="64"/>
      <c r="B20" s="380"/>
      <c r="C20" s="376"/>
      <c r="D20" s="210"/>
      <c r="E20" s="377"/>
      <c r="F20" s="376"/>
      <c r="G20" s="376"/>
      <c r="H20" s="376"/>
      <c r="I20" s="376"/>
      <c r="J20" s="376"/>
      <c r="K20" s="381"/>
      <c r="L20" s="383"/>
      <c r="M20" s="376"/>
      <c r="N20" s="381"/>
      <c r="O20" s="376"/>
      <c r="P20" s="376"/>
      <c r="Q20" s="376"/>
      <c r="R20" s="376"/>
      <c r="S20" s="376"/>
      <c r="T20" s="376"/>
      <c r="U20" s="376"/>
      <c r="V20" s="376"/>
      <c r="W20" s="210"/>
    </row>
    <row r="21" spans="1:23" s="66" customFormat="1" x14ac:dyDescent="0.3">
      <c r="A21" s="64"/>
      <c r="B21" s="380"/>
      <c r="C21" s="376"/>
      <c r="D21" s="210"/>
      <c r="E21" s="377"/>
      <c r="F21" s="376"/>
      <c r="G21" s="376"/>
      <c r="H21" s="376"/>
      <c r="I21" s="376"/>
      <c r="J21" s="376"/>
      <c r="K21" s="381"/>
      <c r="L21" s="383"/>
      <c r="M21" s="376"/>
      <c r="N21" s="381"/>
      <c r="O21" s="376"/>
      <c r="P21" s="376"/>
      <c r="Q21" s="376"/>
      <c r="R21" s="376"/>
      <c r="S21" s="376"/>
      <c r="T21" s="376"/>
      <c r="U21" s="376"/>
      <c r="V21" s="376"/>
      <c r="W21" s="210"/>
    </row>
    <row r="22" spans="1:23" s="66" customFormat="1" x14ac:dyDescent="0.3">
      <c r="A22" s="64"/>
      <c r="B22" s="375"/>
      <c r="C22" s="376"/>
      <c r="D22" s="210"/>
      <c r="E22" s="377"/>
      <c r="F22" s="381"/>
      <c r="G22" s="381"/>
      <c r="H22" s="381"/>
      <c r="I22" s="381"/>
      <c r="J22" s="376"/>
      <c r="K22" s="377"/>
      <c r="L22" s="387"/>
      <c r="M22" s="381"/>
      <c r="N22" s="386"/>
      <c r="O22" s="376"/>
      <c r="P22" s="381"/>
      <c r="Q22" s="376"/>
      <c r="R22" s="381"/>
      <c r="S22" s="376"/>
      <c r="T22" s="376"/>
      <c r="U22" s="376"/>
      <c r="V22" s="376"/>
      <c r="W22" s="210"/>
    </row>
    <row r="23" spans="1:23" s="66" customFormat="1" x14ac:dyDescent="0.3">
      <c r="A23" s="64"/>
      <c r="B23" s="375"/>
      <c r="C23" s="376"/>
      <c r="D23" s="210"/>
      <c r="E23" s="377"/>
      <c r="F23" s="381"/>
      <c r="G23" s="381"/>
      <c r="H23" s="381"/>
      <c r="I23" s="381"/>
      <c r="J23" s="376"/>
      <c r="K23" s="381"/>
      <c r="L23" s="387"/>
      <c r="M23" s="381"/>
      <c r="N23" s="386"/>
      <c r="O23" s="376"/>
      <c r="P23" s="381"/>
      <c r="Q23" s="376"/>
      <c r="R23" s="381"/>
      <c r="S23" s="376"/>
      <c r="T23" s="376"/>
      <c r="U23" s="376"/>
      <c r="V23" s="376"/>
      <c r="W23" s="210"/>
    </row>
    <row r="24" spans="1:23" s="66" customFormat="1" x14ac:dyDescent="0.3">
      <c r="A24" s="64"/>
      <c r="B24" s="375"/>
      <c r="C24" s="376"/>
      <c r="D24" s="210"/>
      <c r="E24" s="377"/>
      <c r="F24" s="381"/>
      <c r="G24" s="381"/>
      <c r="H24" s="381"/>
      <c r="I24" s="381"/>
      <c r="J24" s="376"/>
      <c r="K24" s="381"/>
      <c r="L24" s="387"/>
      <c r="M24" s="381"/>
      <c r="N24" s="386"/>
      <c r="O24" s="376"/>
      <c r="P24" s="381"/>
      <c r="Q24" s="376"/>
      <c r="R24" s="381"/>
      <c r="S24" s="376"/>
      <c r="T24" s="376"/>
      <c r="U24" s="376"/>
      <c r="V24" s="376"/>
      <c r="W24" s="210"/>
    </row>
    <row r="25" spans="1:23" s="66" customFormat="1" x14ac:dyDescent="0.3">
      <c r="A25" s="64"/>
      <c r="B25" s="375"/>
      <c r="C25" s="376"/>
      <c r="D25" s="210"/>
      <c r="E25" s="377"/>
      <c r="F25" s="381"/>
      <c r="G25" s="381"/>
      <c r="H25" s="381"/>
      <c r="I25" s="381"/>
      <c r="J25" s="376"/>
      <c r="K25" s="381"/>
      <c r="L25" s="381"/>
      <c r="M25" s="381"/>
      <c r="N25" s="386"/>
      <c r="O25" s="376"/>
      <c r="P25" s="381"/>
      <c r="Q25" s="376"/>
      <c r="R25" s="381"/>
      <c r="S25" s="376"/>
      <c r="T25" s="376"/>
      <c r="U25" s="376"/>
      <c r="V25" s="376"/>
      <c r="W25" s="210"/>
    </row>
    <row r="26" spans="1:23" s="66" customFormat="1" x14ac:dyDescent="0.3">
      <c r="A26" s="64"/>
      <c r="B26" s="375"/>
      <c r="C26" s="376"/>
      <c r="D26" s="210"/>
      <c r="E26" s="377"/>
      <c r="F26" s="381"/>
      <c r="G26" s="381"/>
      <c r="H26" s="381"/>
      <c r="I26" s="381"/>
      <c r="J26" s="376"/>
      <c r="K26" s="381"/>
      <c r="L26" s="381"/>
      <c r="M26" s="381"/>
      <c r="N26" s="381"/>
      <c r="O26" s="376"/>
      <c r="P26" s="381"/>
      <c r="Q26" s="376"/>
      <c r="R26" s="381"/>
      <c r="S26" s="376"/>
      <c r="T26" s="376"/>
      <c r="U26" s="376"/>
      <c r="V26" s="376"/>
      <c r="W26" s="210"/>
    </row>
    <row r="27" spans="1:23" s="66" customFormat="1" x14ac:dyDescent="0.3">
      <c r="A27" s="64"/>
      <c r="B27" s="375"/>
      <c r="C27" s="376"/>
      <c r="D27" s="210"/>
      <c r="E27" s="377"/>
      <c r="F27" s="381"/>
      <c r="G27" s="381"/>
      <c r="H27" s="381"/>
      <c r="I27" s="381"/>
      <c r="J27" s="376"/>
      <c r="K27" s="377"/>
      <c r="L27" s="387"/>
      <c r="M27" s="381"/>
      <c r="N27" s="381"/>
      <c r="O27" s="376"/>
      <c r="P27" s="381"/>
      <c r="Q27" s="376"/>
      <c r="R27" s="381"/>
      <c r="S27" s="376"/>
      <c r="T27" s="376"/>
      <c r="U27" s="376"/>
      <c r="V27" s="376"/>
      <c r="W27" s="210"/>
    </row>
    <row r="28" spans="1:23" s="66" customFormat="1" x14ac:dyDescent="0.3">
      <c r="A28" s="64"/>
      <c r="B28" s="210"/>
      <c r="C28" s="210"/>
      <c r="D28" s="210"/>
      <c r="E28" s="254"/>
      <c r="F28" s="210"/>
      <c r="G28" s="210"/>
      <c r="H28" s="210"/>
      <c r="I28" s="210"/>
      <c r="J28" s="210"/>
      <c r="K28" s="388"/>
      <c r="L28" s="210"/>
      <c r="M28" s="210"/>
      <c r="N28" s="210"/>
      <c r="O28" s="210"/>
      <c r="P28" s="389"/>
      <c r="Q28" s="210"/>
      <c r="R28" s="210"/>
      <c r="S28" s="376"/>
      <c r="T28" s="390"/>
      <c r="U28" s="210"/>
      <c r="V28" s="376"/>
      <c r="W28" s="210"/>
    </row>
    <row r="29" spans="1:23" s="66" customFormat="1" x14ac:dyDescent="0.3">
      <c r="A29" s="64"/>
      <c r="B29" s="210"/>
      <c r="C29" s="210"/>
      <c r="D29" s="210"/>
      <c r="E29" s="254"/>
      <c r="F29" s="210"/>
      <c r="G29" s="376"/>
      <c r="H29" s="210"/>
      <c r="I29" s="210"/>
      <c r="J29" s="376"/>
      <c r="K29" s="254"/>
      <c r="L29" s="210"/>
      <c r="M29" s="210"/>
      <c r="N29" s="391"/>
      <c r="O29" s="210"/>
      <c r="P29" s="210"/>
      <c r="Q29" s="210"/>
      <c r="R29" s="210"/>
      <c r="S29" s="210"/>
      <c r="T29" s="210"/>
      <c r="U29" s="210"/>
      <c r="V29" s="376"/>
      <c r="W29" s="210"/>
    </row>
    <row r="30" spans="1:23" s="66" customFormat="1" x14ac:dyDescent="0.3">
      <c r="A30" s="64"/>
      <c r="B30" s="210"/>
      <c r="C30" s="210"/>
      <c r="D30" s="210"/>
      <c r="E30" s="254"/>
      <c r="F30" s="210"/>
      <c r="G30" s="210"/>
      <c r="H30" s="210"/>
      <c r="I30" s="210"/>
      <c r="J30" s="210"/>
      <c r="K30" s="210"/>
      <c r="L30" s="210"/>
      <c r="M30" s="210"/>
      <c r="N30" s="210"/>
      <c r="O30" s="210"/>
      <c r="P30" s="210"/>
      <c r="Q30" s="210"/>
      <c r="R30" s="210"/>
      <c r="S30" s="210"/>
      <c r="T30" s="210"/>
      <c r="U30" s="210"/>
      <c r="V30" s="67"/>
      <c r="W30" s="210"/>
    </row>
    <row r="31" spans="1:23" s="66" customFormat="1" x14ac:dyDescent="0.3">
      <c r="A31" s="64"/>
      <c r="B31" s="392"/>
      <c r="C31" s="393"/>
      <c r="D31" s="393"/>
      <c r="E31" s="392"/>
      <c r="F31" s="393"/>
      <c r="G31" s="393"/>
      <c r="H31" s="394"/>
      <c r="I31" s="210"/>
      <c r="J31" s="210"/>
      <c r="K31" s="210"/>
      <c r="L31" s="210"/>
      <c r="M31" s="210"/>
      <c r="N31" s="210"/>
      <c r="O31" s="210"/>
      <c r="P31" s="210"/>
      <c r="Q31" s="210"/>
      <c r="R31" s="210"/>
      <c r="S31" s="210"/>
      <c r="T31" s="210"/>
      <c r="U31" s="210"/>
      <c r="V31" s="67"/>
      <c r="W31" s="210"/>
    </row>
    <row r="32" spans="1:23" s="66" customFormat="1" x14ac:dyDescent="0.3">
      <c r="A32" s="64"/>
      <c r="B32" s="210"/>
      <c r="C32" s="210"/>
      <c r="D32" s="210"/>
      <c r="E32" s="254"/>
      <c r="F32" s="210"/>
      <c r="G32" s="210"/>
      <c r="H32" s="210"/>
      <c r="I32" s="210"/>
      <c r="J32" s="210"/>
      <c r="K32" s="210"/>
      <c r="L32" s="210"/>
      <c r="M32" s="210"/>
      <c r="N32" s="210"/>
      <c r="O32" s="210"/>
      <c r="P32" s="210"/>
      <c r="Q32" s="210"/>
      <c r="R32" s="210"/>
      <c r="S32" s="210"/>
      <c r="T32" s="210"/>
      <c r="U32" s="210"/>
      <c r="V32" s="67"/>
      <c r="W32" s="210"/>
    </row>
    <row r="33" spans="1:23" s="66" customFormat="1" x14ac:dyDescent="0.3">
      <c r="A33" s="64"/>
      <c r="B33" s="210"/>
      <c r="C33" s="210"/>
      <c r="D33" s="210"/>
      <c r="E33" s="254"/>
      <c r="F33" s="210"/>
      <c r="G33" s="210"/>
      <c r="H33" s="210"/>
      <c r="I33" s="210"/>
      <c r="J33" s="210"/>
      <c r="K33" s="210"/>
      <c r="L33" s="210"/>
      <c r="M33" s="210"/>
      <c r="N33" s="210"/>
      <c r="O33" s="210"/>
      <c r="P33" s="210"/>
      <c r="Q33" s="210"/>
      <c r="R33" s="210"/>
      <c r="S33" s="210"/>
      <c r="T33" s="210"/>
      <c r="U33" s="210"/>
      <c r="V33" s="67"/>
      <c r="W33" s="210"/>
    </row>
    <row r="34" spans="1:23" s="66" customFormat="1" x14ac:dyDescent="0.3">
      <c r="A34" s="64"/>
      <c r="B34" s="210"/>
      <c r="C34" s="210"/>
      <c r="D34" s="210"/>
      <c r="E34" s="254"/>
      <c r="F34" s="210"/>
      <c r="G34" s="210"/>
      <c r="H34" s="210"/>
      <c r="I34" s="210"/>
      <c r="J34" s="210"/>
      <c r="K34" s="210"/>
      <c r="L34" s="210"/>
      <c r="M34" s="210"/>
      <c r="N34" s="210"/>
      <c r="O34" s="210"/>
      <c r="P34" s="210"/>
      <c r="Q34" s="210"/>
      <c r="R34" s="210"/>
      <c r="S34" s="210"/>
      <c r="T34" s="210"/>
      <c r="U34" s="210"/>
      <c r="V34" s="67"/>
      <c r="W34" s="210"/>
    </row>
    <row r="35" spans="1:23" s="66" customFormat="1" x14ac:dyDescent="0.3">
      <c r="A35" s="64"/>
      <c r="B35" s="210"/>
      <c r="C35" s="210"/>
      <c r="D35" s="210"/>
      <c r="E35" s="254"/>
      <c r="F35" s="210"/>
      <c r="G35" s="210"/>
      <c r="H35" s="210"/>
      <c r="I35" s="210"/>
      <c r="J35" s="210"/>
      <c r="K35" s="210"/>
      <c r="L35" s="210"/>
      <c r="M35" s="210"/>
      <c r="N35" s="210"/>
      <c r="O35" s="210"/>
      <c r="P35" s="210"/>
      <c r="Q35" s="210"/>
      <c r="R35" s="210"/>
      <c r="S35" s="210"/>
      <c r="T35" s="210"/>
      <c r="U35" s="210"/>
      <c r="V35" s="67"/>
      <c r="W35" s="210"/>
    </row>
    <row r="36" spans="1:23" s="66" customFormat="1" x14ac:dyDescent="0.3">
      <c r="A36" s="64"/>
      <c r="B36" s="210"/>
      <c r="C36" s="210"/>
      <c r="D36" s="210"/>
      <c r="E36" s="254"/>
      <c r="F36" s="210"/>
      <c r="G36" s="210"/>
      <c r="H36" s="210"/>
      <c r="I36" s="210"/>
      <c r="J36" s="210"/>
      <c r="L36" s="210"/>
      <c r="M36" s="210"/>
      <c r="N36" s="210"/>
      <c r="O36" s="210"/>
      <c r="P36" s="210"/>
      <c r="Q36" s="210"/>
      <c r="R36" s="210"/>
      <c r="S36" s="210"/>
      <c r="T36" s="210"/>
      <c r="U36" s="210"/>
      <c r="V36" s="67"/>
      <c r="W36" s="210"/>
    </row>
    <row r="37" spans="1:23" s="66" customFormat="1" x14ac:dyDescent="0.3">
      <c r="A37" s="64"/>
      <c r="B37" s="210"/>
      <c r="C37" s="210"/>
      <c r="D37" s="210"/>
      <c r="E37" s="254"/>
      <c r="F37" s="210"/>
      <c r="G37" s="210"/>
      <c r="H37" s="210"/>
      <c r="I37" s="210"/>
      <c r="J37" s="210"/>
      <c r="K37" s="210"/>
      <c r="L37" s="210"/>
      <c r="M37" s="210"/>
      <c r="N37" s="210"/>
      <c r="O37" s="210"/>
      <c r="P37" s="210"/>
      <c r="Q37" s="210"/>
      <c r="R37" s="210"/>
      <c r="S37" s="210"/>
      <c r="T37" s="210"/>
      <c r="U37" s="210"/>
      <c r="V37" s="67"/>
      <c r="W37" s="210"/>
    </row>
    <row r="38" spans="1:23" s="66" customFormat="1" x14ac:dyDescent="0.3">
      <c r="A38" s="64"/>
      <c r="B38" s="210"/>
      <c r="C38" s="210"/>
      <c r="D38" s="210"/>
      <c r="E38" s="254"/>
      <c r="F38" s="210"/>
      <c r="G38" s="210"/>
      <c r="H38" s="210"/>
      <c r="I38" s="210"/>
      <c r="J38" s="210"/>
      <c r="K38" s="210"/>
      <c r="L38" s="210"/>
      <c r="M38" s="210"/>
      <c r="N38" s="210"/>
      <c r="O38" s="210"/>
      <c r="P38" s="210"/>
      <c r="Q38" s="210"/>
      <c r="R38" s="210"/>
      <c r="S38" s="210"/>
      <c r="T38" s="210"/>
      <c r="U38" s="210"/>
      <c r="V38" s="67"/>
      <c r="W38" s="210"/>
    </row>
    <row r="39" spans="1:23" s="66" customFormat="1" x14ac:dyDescent="0.3">
      <c r="A39" s="64"/>
      <c r="B39" s="210"/>
      <c r="C39" s="210"/>
      <c r="D39" s="210"/>
      <c r="E39" s="254"/>
      <c r="F39" s="210"/>
      <c r="G39" s="210"/>
      <c r="H39" s="210"/>
      <c r="I39" s="210"/>
      <c r="J39" s="210"/>
      <c r="K39" s="210"/>
      <c r="L39" s="210"/>
      <c r="M39" s="210"/>
      <c r="N39" s="210"/>
      <c r="O39" s="210"/>
      <c r="P39" s="210"/>
      <c r="Q39" s="210"/>
      <c r="R39" s="210"/>
      <c r="S39" s="210"/>
      <c r="T39" s="210"/>
      <c r="U39" s="210"/>
      <c r="V39" s="67"/>
      <c r="W39" s="210"/>
    </row>
    <row r="40" spans="1:23" s="66" customFormat="1" x14ac:dyDescent="0.3">
      <c r="A40" s="64"/>
      <c r="B40" s="210"/>
      <c r="C40" s="210"/>
      <c r="D40" s="210"/>
      <c r="E40" s="254"/>
      <c r="F40" s="210"/>
      <c r="G40" s="210"/>
      <c r="H40" s="210"/>
      <c r="I40" s="210"/>
      <c r="J40" s="210"/>
      <c r="K40" s="210"/>
      <c r="L40" s="210"/>
      <c r="M40" s="210"/>
      <c r="N40" s="210"/>
      <c r="O40" s="210"/>
      <c r="P40" s="210"/>
      <c r="Q40" s="210"/>
      <c r="R40" s="210"/>
      <c r="S40" s="210"/>
      <c r="T40" s="210"/>
      <c r="U40" s="210"/>
      <c r="V40" s="67"/>
      <c r="W40" s="210"/>
    </row>
    <row r="41" spans="1:23" s="66" customFormat="1" x14ac:dyDescent="0.3">
      <c r="A41" s="64"/>
      <c r="B41" s="210"/>
      <c r="C41" s="210"/>
      <c r="D41" s="210"/>
      <c r="E41" s="254"/>
      <c r="F41" s="210"/>
      <c r="G41" s="210"/>
      <c r="H41" s="210"/>
      <c r="I41" s="210"/>
      <c r="J41" s="210"/>
      <c r="K41" s="210"/>
      <c r="L41" s="210"/>
      <c r="M41" s="210"/>
      <c r="N41" s="210"/>
      <c r="O41" s="210"/>
      <c r="P41" s="210"/>
      <c r="Q41" s="210"/>
      <c r="R41" s="210"/>
      <c r="S41" s="210"/>
      <c r="T41" s="210"/>
      <c r="U41" s="210"/>
      <c r="V41" s="67"/>
      <c r="W41" s="210"/>
    </row>
    <row r="42" spans="1:23" s="66" customFormat="1" x14ac:dyDescent="0.3">
      <c r="A42" s="64"/>
      <c r="B42" s="210"/>
      <c r="C42" s="210"/>
      <c r="D42" s="210"/>
      <c r="E42" s="254"/>
      <c r="F42" s="210"/>
      <c r="G42" s="210"/>
      <c r="H42" s="210"/>
      <c r="I42" s="210"/>
      <c r="J42" s="210"/>
      <c r="K42" s="210"/>
      <c r="L42" s="210"/>
      <c r="M42" s="210"/>
      <c r="N42" s="210"/>
      <c r="O42" s="210"/>
      <c r="P42" s="210"/>
      <c r="Q42" s="210"/>
      <c r="R42" s="210"/>
      <c r="S42" s="210"/>
      <c r="T42" s="210"/>
      <c r="U42" s="210"/>
      <c r="V42" s="67"/>
      <c r="W42" s="210"/>
    </row>
    <row r="43" spans="1:23" s="66" customFormat="1" x14ac:dyDescent="0.3">
      <c r="A43" s="64"/>
      <c r="B43" s="210"/>
      <c r="C43" s="210"/>
      <c r="D43" s="210"/>
      <c r="E43" s="254"/>
      <c r="F43" s="210"/>
      <c r="G43" s="210"/>
      <c r="H43" s="210"/>
      <c r="I43" s="210"/>
      <c r="J43" s="210"/>
      <c r="K43" s="210"/>
      <c r="L43" s="210"/>
      <c r="M43" s="210"/>
      <c r="N43" s="210"/>
      <c r="O43" s="210"/>
      <c r="P43" s="210"/>
      <c r="Q43" s="210"/>
      <c r="R43" s="210"/>
      <c r="S43" s="210"/>
      <c r="T43" s="210"/>
      <c r="U43" s="210"/>
      <c r="V43" s="67"/>
      <c r="W43" s="210"/>
    </row>
    <row r="44" spans="1:23" s="66" customFormat="1" x14ac:dyDescent="0.3">
      <c r="A44" s="64"/>
      <c r="B44" s="210"/>
      <c r="C44" s="210"/>
      <c r="D44" s="210"/>
      <c r="E44" s="254"/>
      <c r="F44" s="210"/>
      <c r="G44" s="210"/>
      <c r="H44" s="210"/>
      <c r="I44" s="210"/>
      <c r="J44" s="210"/>
      <c r="K44" s="210"/>
      <c r="L44" s="210"/>
      <c r="M44" s="210"/>
      <c r="N44" s="210"/>
      <c r="O44" s="210"/>
      <c r="P44" s="210"/>
      <c r="Q44" s="210"/>
      <c r="R44" s="210"/>
      <c r="S44" s="210"/>
      <c r="T44" s="210"/>
      <c r="U44" s="210"/>
      <c r="V44" s="67"/>
      <c r="W44" s="210"/>
    </row>
    <row r="45" spans="1:23" s="66" customFormat="1" x14ac:dyDescent="0.3">
      <c r="A45" s="64"/>
      <c r="B45" s="210"/>
      <c r="C45" s="210"/>
      <c r="D45" s="210"/>
      <c r="E45" s="254"/>
      <c r="F45" s="210"/>
      <c r="G45" s="210"/>
      <c r="H45" s="210"/>
      <c r="I45" s="210"/>
      <c r="J45" s="210"/>
      <c r="K45" s="210"/>
      <c r="L45" s="210"/>
      <c r="M45" s="210"/>
      <c r="N45" s="210"/>
      <c r="O45" s="210"/>
      <c r="P45" s="210"/>
      <c r="Q45" s="210"/>
      <c r="R45" s="210"/>
      <c r="S45" s="210"/>
      <c r="T45" s="210"/>
      <c r="U45" s="210"/>
      <c r="V45" s="67"/>
      <c r="W45" s="210"/>
    </row>
    <row r="46" spans="1:23" s="66" customFormat="1" x14ac:dyDescent="0.3">
      <c r="A46" s="64"/>
      <c r="B46" s="210"/>
      <c r="C46" s="210"/>
      <c r="D46" s="210"/>
      <c r="E46" s="254"/>
      <c r="F46" s="210"/>
      <c r="G46" s="210"/>
      <c r="H46" s="210"/>
      <c r="I46" s="210"/>
      <c r="J46" s="210"/>
      <c r="K46" s="210"/>
      <c r="L46" s="210"/>
      <c r="M46" s="210"/>
      <c r="N46" s="210"/>
      <c r="O46" s="210"/>
      <c r="P46" s="210"/>
      <c r="Q46" s="210"/>
      <c r="R46" s="210"/>
      <c r="S46" s="210"/>
      <c r="T46" s="210"/>
      <c r="U46" s="210"/>
      <c r="V46" s="67"/>
      <c r="W46" s="210"/>
    </row>
    <row r="47" spans="1:23" s="66" customFormat="1" x14ac:dyDescent="0.3">
      <c r="A47" s="64"/>
      <c r="B47" s="210"/>
      <c r="C47" s="210"/>
      <c r="D47" s="210"/>
      <c r="E47" s="254"/>
      <c r="F47" s="210"/>
      <c r="G47" s="210"/>
      <c r="H47" s="210"/>
      <c r="I47" s="210"/>
      <c r="J47" s="210"/>
      <c r="K47" s="210"/>
      <c r="L47" s="210"/>
      <c r="M47" s="210"/>
      <c r="N47" s="210"/>
      <c r="O47" s="210"/>
      <c r="P47" s="210"/>
      <c r="Q47" s="210"/>
      <c r="R47" s="210"/>
      <c r="S47" s="210"/>
      <c r="T47" s="210"/>
      <c r="U47" s="210"/>
      <c r="V47" s="67"/>
      <c r="W47" s="210"/>
    </row>
    <row r="48" spans="1:23" s="66" customFormat="1" x14ac:dyDescent="0.3">
      <c r="A48" s="64"/>
      <c r="B48" s="210"/>
      <c r="C48" s="210"/>
      <c r="D48" s="210"/>
      <c r="E48" s="254"/>
      <c r="F48" s="210"/>
      <c r="G48" s="210"/>
      <c r="H48" s="210"/>
      <c r="I48" s="210"/>
      <c r="J48" s="210"/>
      <c r="K48" s="210"/>
      <c r="L48" s="210"/>
      <c r="M48" s="210"/>
      <c r="N48" s="210"/>
      <c r="O48" s="210"/>
      <c r="P48" s="210"/>
      <c r="Q48" s="210"/>
      <c r="R48" s="210"/>
      <c r="S48" s="210"/>
      <c r="T48" s="210"/>
      <c r="U48" s="210"/>
      <c r="V48" s="67"/>
      <c r="W48" s="210"/>
    </row>
    <row r="49" spans="1:23" s="66" customFormat="1" x14ac:dyDescent="0.3">
      <c r="A49" s="64"/>
      <c r="B49" s="210"/>
      <c r="C49" s="210"/>
      <c r="D49" s="210"/>
      <c r="E49" s="210"/>
      <c r="F49" s="210"/>
      <c r="G49" s="210"/>
      <c r="H49" s="210"/>
      <c r="I49" s="210"/>
      <c r="J49" s="210"/>
      <c r="K49" s="210"/>
      <c r="L49" s="210"/>
      <c r="M49" s="210"/>
      <c r="N49" s="210"/>
      <c r="O49" s="210"/>
      <c r="P49" s="210"/>
      <c r="Q49" s="210"/>
      <c r="R49" s="210"/>
      <c r="S49" s="210"/>
      <c r="T49" s="210"/>
      <c r="U49" s="210"/>
      <c r="V49" s="67"/>
      <c r="W49" s="210"/>
    </row>
    <row r="50" spans="1:23" s="66" customFormat="1" x14ac:dyDescent="0.3">
      <c r="A50" s="64"/>
      <c r="B50" s="210"/>
      <c r="C50" s="210"/>
      <c r="D50" s="210"/>
      <c r="E50" s="254"/>
      <c r="F50" s="210"/>
      <c r="G50" s="210"/>
      <c r="H50" s="210"/>
      <c r="I50" s="210"/>
      <c r="J50" s="210"/>
      <c r="K50" s="210"/>
      <c r="L50" s="210"/>
      <c r="M50" s="210"/>
      <c r="N50" s="210"/>
      <c r="O50" s="210"/>
      <c r="P50" s="210"/>
      <c r="Q50" s="210"/>
      <c r="R50" s="210"/>
      <c r="S50" s="210"/>
      <c r="T50" s="210"/>
      <c r="U50" s="210"/>
      <c r="V50" s="67"/>
      <c r="W50" s="210"/>
    </row>
    <row r="51" spans="1:23" s="66" customFormat="1" x14ac:dyDescent="0.3">
      <c r="A51" s="64"/>
      <c r="B51" s="210"/>
      <c r="C51" s="210"/>
      <c r="D51" s="210"/>
      <c r="E51" s="254"/>
      <c r="F51" s="210"/>
      <c r="G51" s="210"/>
      <c r="H51" s="210"/>
      <c r="I51" s="210"/>
      <c r="J51" s="210"/>
      <c r="K51" s="210"/>
      <c r="L51" s="210"/>
      <c r="M51" s="210"/>
      <c r="N51" s="210"/>
      <c r="O51" s="210"/>
      <c r="P51" s="210"/>
      <c r="Q51" s="210"/>
      <c r="R51" s="210"/>
      <c r="S51" s="210"/>
      <c r="T51" s="210"/>
      <c r="U51" s="210"/>
      <c r="V51" s="67"/>
      <c r="W51" s="210"/>
    </row>
    <row r="52" spans="1:23" s="66" customFormat="1" x14ac:dyDescent="0.3">
      <c r="A52" s="64"/>
      <c r="B52" s="210"/>
      <c r="C52" s="210"/>
      <c r="D52" s="210"/>
      <c r="E52" s="254"/>
      <c r="F52" s="210"/>
      <c r="G52" s="210"/>
      <c r="H52" s="210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  <c r="U52" s="210"/>
      <c r="V52" s="67"/>
      <c r="W52" s="210"/>
    </row>
    <row r="53" spans="1:23" s="66" customFormat="1" x14ac:dyDescent="0.3">
      <c r="A53" s="64"/>
      <c r="B53" s="210"/>
      <c r="C53" s="210"/>
      <c r="D53" s="210"/>
      <c r="E53" s="254"/>
      <c r="F53" s="210"/>
      <c r="G53" s="210"/>
      <c r="H53" s="210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  <c r="U53" s="210"/>
      <c r="V53" s="67"/>
      <c r="W53" s="210"/>
    </row>
    <row r="54" spans="1:23" s="66" customFormat="1" x14ac:dyDescent="0.3">
      <c r="A54" s="64"/>
      <c r="B54" s="210"/>
      <c r="C54" s="210"/>
      <c r="D54" s="210"/>
      <c r="E54" s="254"/>
      <c r="F54" s="210"/>
      <c r="G54" s="210"/>
      <c r="H54" s="210"/>
      <c r="I54" s="210"/>
      <c r="J54" s="210"/>
      <c r="K54" s="210"/>
      <c r="L54" s="210"/>
      <c r="M54" s="210"/>
      <c r="N54" s="210"/>
      <c r="O54" s="210"/>
      <c r="P54" s="210"/>
      <c r="Q54" s="210"/>
      <c r="R54" s="210"/>
      <c r="S54" s="210"/>
      <c r="T54" s="210"/>
      <c r="U54" s="210"/>
      <c r="V54" s="67"/>
      <c r="W54" s="210"/>
    </row>
    <row r="55" spans="1:23" s="66" customFormat="1" x14ac:dyDescent="0.3">
      <c r="A55" s="64"/>
      <c r="B55" s="210"/>
      <c r="C55" s="210"/>
      <c r="D55" s="210"/>
      <c r="E55" s="254"/>
      <c r="F55" s="210"/>
      <c r="G55" s="210"/>
      <c r="H55" s="210"/>
      <c r="I55" s="210"/>
      <c r="J55" s="210"/>
      <c r="K55" s="210"/>
      <c r="L55" s="210"/>
      <c r="M55" s="210"/>
      <c r="N55" s="210"/>
      <c r="O55" s="210"/>
      <c r="P55" s="210"/>
      <c r="Q55" s="210"/>
      <c r="R55" s="210"/>
      <c r="S55" s="210"/>
      <c r="T55" s="210"/>
      <c r="U55" s="210"/>
      <c r="V55" s="67"/>
      <c r="W55" s="210"/>
    </row>
    <row r="56" spans="1:23" s="66" customFormat="1" x14ac:dyDescent="0.3">
      <c r="A56" s="64"/>
      <c r="B56" s="210"/>
      <c r="C56" s="210"/>
      <c r="D56" s="210"/>
      <c r="E56" s="254"/>
      <c r="F56" s="210"/>
      <c r="G56" s="210"/>
      <c r="H56" s="210"/>
      <c r="I56" s="210"/>
      <c r="J56" s="210"/>
      <c r="K56" s="210"/>
      <c r="L56" s="210"/>
      <c r="M56" s="210"/>
      <c r="N56" s="210"/>
      <c r="O56" s="210"/>
      <c r="P56" s="210"/>
      <c r="Q56" s="210"/>
      <c r="R56" s="210"/>
      <c r="S56" s="210"/>
      <c r="T56" s="210"/>
      <c r="U56" s="210"/>
      <c r="V56" s="67"/>
      <c r="W56" s="210"/>
    </row>
    <row r="57" spans="1:23" s="66" customFormat="1" x14ac:dyDescent="0.3">
      <c r="A57" s="64"/>
      <c r="B57" s="210"/>
      <c r="C57" s="210"/>
      <c r="D57" s="210"/>
      <c r="E57" s="254"/>
      <c r="F57" s="210"/>
      <c r="G57" s="210"/>
      <c r="H57" s="210"/>
      <c r="I57" s="210"/>
      <c r="J57" s="210"/>
      <c r="K57" s="210"/>
      <c r="L57" s="210"/>
      <c r="M57" s="210"/>
      <c r="N57" s="210"/>
      <c r="O57" s="210"/>
      <c r="P57" s="210"/>
      <c r="Q57" s="210"/>
      <c r="R57" s="210"/>
      <c r="S57" s="210"/>
      <c r="T57" s="210"/>
      <c r="U57" s="210"/>
      <c r="V57" s="67"/>
      <c r="W57" s="210"/>
    </row>
    <row r="58" spans="1:23" s="66" customFormat="1" x14ac:dyDescent="0.3">
      <c r="A58" s="64"/>
      <c r="B58" s="210"/>
      <c r="C58" s="210"/>
      <c r="D58" s="210"/>
      <c r="E58" s="254"/>
      <c r="F58" s="210"/>
      <c r="G58" s="210"/>
      <c r="H58" s="210"/>
      <c r="I58" s="210"/>
      <c r="J58" s="210"/>
      <c r="K58" s="210"/>
      <c r="L58" s="210"/>
      <c r="M58" s="210"/>
      <c r="N58" s="210"/>
      <c r="O58" s="210"/>
      <c r="P58" s="210"/>
      <c r="Q58" s="210"/>
      <c r="R58" s="210"/>
      <c r="S58" s="210"/>
      <c r="T58" s="210"/>
      <c r="U58" s="210"/>
      <c r="V58" s="67"/>
      <c r="W58" s="210"/>
    </row>
    <row r="59" spans="1:23" s="66" customFormat="1" x14ac:dyDescent="0.3">
      <c r="A59" s="64"/>
      <c r="B59" s="210"/>
      <c r="C59" s="210"/>
      <c r="D59" s="210"/>
      <c r="E59" s="254"/>
      <c r="F59" s="210"/>
      <c r="G59" s="210"/>
      <c r="H59" s="210"/>
      <c r="I59" s="210"/>
      <c r="J59" s="210"/>
      <c r="K59" s="210"/>
      <c r="L59" s="210"/>
      <c r="M59" s="210"/>
      <c r="N59" s="210"/>
      <c r="O59" s="210"/>
      <c r="P59" s="210"/>
      <c r="Q59" s="210"/>
      <c r="R59" s="210"/>
      <c r="S59" s="210"/>
      <c r="T59" s="210"/>
      <c r="U59" s="210"/>
      <c r="V59" s="67"/>
      <c r="W59" s="210"/>
    </row>
    <row r="60" spans="1:23" s="66" customFormat="1" x14ac:dyDescent="0.3">
      <c r="A60" s="64"/>
      <c r="B60" s="210"/>
      <c r="C60" s="210"/>
      <c r="D60" s="210"/>
      <c r="E60" s="254"/>
      <c r="F60" s="210"/>
      <c r="G60" s="210"/>
      <c r="H60" s="210"/>
      <c r="I60" s="210"/>
      <c r="J60" s="210"/>
      <c r="K60" s="210"/>
      <c r="L60" s="210"/>
      <c r="M60" s="210"/>
      <c r="N60" s="210"/>
      <c r="O60" s="210"/>
      <c r="P60" s="210"/>
      <c r="Q60" s="210"/>
      <c r="R60" s="210"/>
      <c r="S60" s="210"/>
      <c r="T60" s="210"/>
      <c r="U60" s="210"/>
      <c r="V60" s="67"/>
      <c r="W60" s="210"/>
    </row>
    <row r="61" spans="1:23" s="66" customFormat="1" x14ac:dyDescent="0.3">
      <c r="A61" s="64"/>
      <c r="B61" s="210"/>
      <c r="C61" s="210"/>
      <c r="D61" s="210"/>
      <c r="E61" s="254"/>
      <c r="F61" s="210"/>
      <c r="G61" s="210"/>
      <c r="H61" s="210"/>
      <c r="I61" s="210"/>
      <c r="J61" s="210"/>
      <c r="K61" s="210"/>
      <c r="L61" s="210"/>
      <c r="M61" s="210"/>
      <c r="N61" s="210"/>
      <c r="O61" s="210"/>
      <c r="P61" s="210"/>
      <c r="Q61" s="210"/>
      <c r="R61" s="210"/>
      <c r="S61" s="210"/>
      <c r="T61" s="210"/>
      <c r="U61" s="210"/>
      <c r="V61" s="67"/>
      <c r="W61" s="210"/>
    </row>
    <row r="62" spans="1:23" s="66" customFormat="1" x14ac:dyDescent="0.3">
      <c r="A62" s="64"/>
      <c r="B62" s="210"/>
      <c r="C62" s="210"/>
      <c r="D62" s="210"/>
      <c r="E62" s="254"/>
      <c r="F62" s="210"/>
      <c r="G62" s="210"/>
      <c r="H62" s="210"/>
      <c r="I62" s="210"/>
      <c r="J62" s="210"/>
      <c r="K62" s="210"/>
      <c r="L62" s="210"/>
      <c r="M62" s="210"/>
      <c r="N62" s="210"/>
      <c r="O62" s="210"/>
      <c r="P62" s="210"/>
      <c r="Q62" s="210"/>
      <c r="R62" s="210"/>
      <c r="S62" s="210"/>
      <c r="T62" s="210"/>
      <c r="U62" s="210"/>
      <c r="V62" s="67"/>
      <c r="W62" s="210"/>
    </row>
    <row r="63" spans="1:23" s="66" customFormat="1" x14ac:dyDescent="0.3">
      <c r="A63" s="64"/>
      <c r="B63" s="210"/>
      <c r="C63" s="210"/>
      <c r="D63" s="210"/>
      <c r="E63" s="254"/>
      <c r="F63" s="210"/>
      <c r="G63" s="210"/>
      <c r="H63" s="210"/>
      <c r="I63" s="210"/>
      <c r="J63" s="210"/>
      <c r="K63" s="210"/>
      <c r="L63" s="210"/>
      <c r="M63" s="210"/>
      <c r="N63" s="210"/>
      <c r="O63" s="210"/>
      <c r="P63" s="210"/>
      <c r="Q63" s="210"/>
      <c r="R63" s="210"/>
      <c r="S63" s="210"/>
      <c r="T63" s="210"/>
      <c r="U63" s="210"/>
      <c r="V63" s="67"/>
      <c r="W63" s="210"/>
    </row>
    <row r="64" spans="1:23" s="66" customFormat="1" x14ac:dyDescent="0.3">
      <c r="A64" s="210"/>
      <c r="B64" s="210"/>
      <c r="C64" s="210"/>
      <c r="D64" s="210"/>
      <c r="E64" s="254"/>
      <c r="F64" s="210"/>
      <c r="G64" s="210"/>
      <c r="H64" s="210"/>
      <c r="I64" s="210"/>
      <c r="J64" s="210"/>
      <c r="K64" s="210"/>
      <c r="L64" s="210"/>
      <c r="M64" s="210"/>
      <c r="N64" s="210"/>
      <c r="O64" s="210"/>
      <c r="P64" s="210"/>
      <c r="Q64" s="210"/>
      <c r="R64" s="210"/>
      <c r="S64" s="210"/>
      <c r="T64" s="210"/>
      <c r="U64" s="210"/>
      <c r="V64" s="67"/>
      <c r="W64" s="210"/>
    </row>
    <row r="65" spans="1:23" s="66" customFormat="1" x14ac:dyDescent="0.3">
      <c r="A65" s="210"/>
      <c r="B65" s="210"/>
      <c r="C65" s="210"/>
      <c r="D65" s="210"/>
      <c r="E65" s="254"/>
      <c r="F65" s="210"/>
      <c r="G65" s="210"/>
      <c r="H65" s="210"/>
      <c r="I65" s="210"/>
      <c r="J65" s="210"/>
      <c r="K65" s="210"/>
      <c r="L65" s="210"/>
      <c r="M65" s="210"/>
      <c r="N65" s="210"/>
      <c r="O65" s="210"/>
      <c r="P65" s="210"/>
      <c r="Q65" s="210"/>
      <c r="R65" s="210"/>
      <c r="S65" s="210"/>
      <c r="T65" s="210"/>
      <c r="U65" s="210"/>
      <c r="V65" s="67"/>
      <c r="W65" s="210"/>
    </row>
    <row r="66" spans="1:23" s="66" customFormat="1" x14ac:dyDescent="0.3">
      <c r="A66" s="210"/>
      <c r="B66" s="210"/>
      <c r="C66" s="210"/>
      <c r="D66" s="210"/>
      <c r="E66" s="254"/>
      <c r="F66" s="210"/>
      <c r="G66" s="210"/>
      <c r="H66" s="210"/>
      <c r="I66" s="210"/>
      <c r="J66" s="210"/>
      <c r="K66" s="210"/>
      <c r="L66" s="210"/>
      <c r="M66" s="210"/>
      <c r="N66" s="210"/>
      <c r="O66" s="210"/>
      <c r="P66" s="210"/>
      <c r="Q66" s="210"/>
      <c r="R66" s="210"/>
      <c r="S66" s="210"/>
      <c r="T66" s="210"/>
      <c r="U66" s="210"/>
      <c r="V66" s="67"/>
      <c r="W66" s="210"/>
    </row>
    <row r="67" spans="1:23" s="66" customFormat="1" x14ac:dyDescent="0.3">
      <c r="A67" s="210"/>
      <c r="B67" s="210"/>
      <c r="C67" s="210"/>
      <c r="D67" s="210"/>
      <c r="E67" s="254"/>
      <c r="F67" s="210"/>
      <c r="G67" s="210"/>
      <c r="H67" s="210"/>
      <c r="I67" s="210"/>
      <c r="J67" s="210"/>
      <c r="K67" s="210"/>
      <c r="L67" s="210"/>
      <c r="M67" s="210"/>
      <c r="N67" s="210"/>
      <c r="O67" s="210"/>
      <c r="P67" s="210"/>
      <c r="Q67" s="210"/>
      <c r="R67" s="210"/>
      <c r="S67" s="210"/>
      <c r="T67" s="210"/>
      <c r="U67" s="210"/>
      <c r="V67" s="67"/>
      <c r="W67" s="210"/>
    </row>
  </sheetData>
  <mergeCells count="1">
    <mergeCell ref="A1:W1"/>
  </mergeCells>
  <dataValidations count="6">
    <dataValidation type="list" allowBlank="1" showInputMessage="1" showErrorMessage="1" sqref="S3:S28" xr:uid="{00000000-0002-0000-1800-000000000000}">
      <formula1>RAPS</formula1>
    </dataValidation>
    <dataValidation type="list" allowBlank="1" showInputMessage="1" showErrorMessage="1" sqref="V3:V29" xr:uid="{00000000-0002-0000-1800-000001000000}">
      <formula1>PSICOTROPICOS</formula1>
    </dataValidation>
    <dataValidation type="list" allowBlank="1" showInputMessage="1" showErrorMessage="1" sqref="Q3:Q27 T3:U27 O3:O27" xr:uid="{00000000-0002-0000-1800-000002000000}">
      <formula1>SIMNÃO</formula1>
    </dataValidation>
    <dataValidation type="list" allowBlank="1" showInputMessage="1" showErrorMessage="1" sqref="J3:J27 J29" xr:uid="{00000000-0002-0000-1800-000003000000}">
      <formula1>SITUAÇÃOCONJUGAL</formula1>
    </dataValidation>
    <dataValidation type="date" allowBlank="1" showInputMessage="1" showErrorMessage="1" sqref="E3:E27 K3 K14:K15 K11:K12 K27 K22" xr:uid="{00000000-0002-0000-1800-000004000000}">
      <formula1>1</formula1>
      <formula2>48213</formula2>
    </dataValidation>
    <dataValidation type="list" allowBlank="1" showInputMessage="1" showErrorMessage="1" sqref="C3:C27" xr:uid="{00000000-0002-0000-1800-000005000000}">
      <formula1>SEXO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AR65"/>
  <sheetViews>
    <sheetView showGridLines="0" zoomScaleNormal="100" workbookViewId="0">
      <selection activeCell="B5" sqref="B5"/>
    </sheetView>
  </sheetViews>
  <sheetFormatPr defaultRowHeight="14.4" x14ac:dyDescent="0.3"/>
  <cols>
    <col min="1" max="1" width="5.44140625" customWidth="1"/>
    <col min="2" max="2" width="19.109375" customWidth="1"/>
    <col min="3" max="3" width="9.6640625" customWidth="1"/>
    <col min="4" max="4" width="14.88671875" customWidth="1"/>
    <col min="5" max="5" width="11.5546875" customWidth="1"/>
    <col min="7" max="7" width="21.44140625" customWidth="1"/>
    <col min="8" max="8" width="13.5546875" customWidth="1"/>
    <col min="9" max="9" width="10.88671875" customWidth="1"/>
    <col min="11" max="11" width="14.88671875" customWidth="1"/>
    <col min="12" max="13" width="14.109375" customWidth="1"/>
    <col min="14" max="14" width="26.88671875" customWidth="1"/>
    <col min="15" max="15" width="21.109375" customWidth="1"/>
    <col min="16" max="17" width="19.6640625" customWidth="1"/>
    <col min="21" max="21" width="22.88671875" customWidth="1"/>
    <col min="22" max="22" width="28.33203125" customWidth="1"/>
    <col min="23" max="23" width="18" customWidth="1"/>
    <col min="24" max="24" width="18.44140625" customWidth="1"/>
    <col min="25" max="25" width="16.33203125" customWidth="1"/>
    <col min="26" max="26" width="17.5546875" customWidth="1"/>
    <col min="27" max="27" width="15.109375" customWidth="1"/>
    <col min="28" max="28" width="19.33203125" customWidth="1"/>
  </cols>
  <sheetData>
    <row r="2" spans="1:22" ht="21.6" thickBot="1" x14ac:dyDescent="0.35">
      <c r="A2" s="603" t="s">
        <v>723</v>
      </c>
      <c r="B2" s="604"/>
      <c r="C2" s="604"/>
      <c r="D2" s="604"/>
      <c r="E2" s="604"/>
      <c r="F2" s="604"/>
      <c r="G2" s="604"/>
      <c r="H2" s="604"/>
      <c r="I2" s="604"/>
      <c r="J2" s="604"/>
      <c r="K2" s="604"/>
      <c r="L2" s="604"/>
      <c r="M2" s="604"/>
    </row>
    <row r="3" spans="1:22" ht="51" thickBot="1" x14ac:dyDescent="0.35">
      <c r="A3" s="151" t="s">
        <v>688</v>
      </c>
      <c r="B3" s="152" t="s">
        <v>724</v>
      </c>
      <c r="C3" s="605" t="s">
        <v>725</v>
      </c>
      <c r="D3" s="605"/>
      <c r="E3" s="152" t="s">
        <v>691</v>
      </c>
      <c r="F3" s="152" t="s">
        <v>726</v>
      </c>
      <c r="G3" s="152" t="s">
        <v>727</v>
      </c>
      <c r="H3" s="152" t="s">
        <v>231</v>
      </c>
      <c r="I3" s="152" t="s">
        <v>28</v>
      </c>
      <c r="J3" s="152" t="s">
        <v>728</v>
      </c>
      <c r="K3" s="152" t="s">
        <v>235</v>
      </c>
      <c r="L3" s="152" t="s">
        <v>729</v>
      </c>
      <c r="M3" s="153" t="s">
        <v>730</v>
      </c>
    </row>
    <row r="4" spans="1:22" x14ac:dyDescent="0.3">
      <c r="A4" s="15"/>
      <c r="B4" s="5"/>
      <c r="C4" s="608"/>
      <c r="D4" s="609"/>
      <c r="E4" s="5"/>
      <c r="F4" s="5"/>
      <c r="G4" s="5"/>
      <c r="H4" s="5"/>
      <c r="I4" s="5"/>
      <c r="J4" s="5"/>
      <c r="K4" s="5"/>
      <c r="L4" s="5"/>
      <c r="M4" s="5"/>
    </row>
    <row r="5" spans="1:22" x14ac:dyDescent="0.3">
      <c r="A5" s="59"/>
      <c r="B5" s="41"/>
      <c r="C5" s="610"/>
      <c r="D5" s="611"/>
      <c r="E5" s="41"/>
      <c r="F5" s="41"/>
      <c r="G5" s="41"/>
      <c r="H5" s="41"/>
      <c r="I5" s="41"/>
      <c r="J5" s="41"/>
      <c r="K5" s="41"/>
      <c r="L5" s="41"/>
      <c r="M5" s="41"/>
    </row>
    <row r="6" spans="1:22" x14ac:dyDescent="0.3">
      <c r="A6" s="59"/>
      <c r="B6" s="41"/>
      <c r="C6" s="610"/>
      <c r="D6" s="611"/>
      <c r="E6" s="41"/>
      <c r="F6" s="41"/>
      <c r="G6" s="41"/>
      <c r="H6" s="41"/>
      <c r="I6" s="41"/>
      <c r="J6" s="41"/>
      <c r="K6" s="41"/>
      <c r="L6" s="41"/>
      <c r="M6" s="41"/>
    </row>
    <row r="7" spans="1:22" x14ac:dyDescent="0.3">
      <c r="A7" s="59"/>
      <c r="B7" s="41"/>
      <c r="C7" s="610"/>
      <c r="D7" s="611"/>
      <c r="E7" s="41"/>
      <c r="F7" s="41"/>
      <c r="G7" s="41"/>
      <c r="H7" s="41"/>
      <c r="I7" s="41"/>
      <c r="J7" s="41"/>
      <c r="K7" s="41"/>
      <c r="L7" s="41"/>
      <c r="M7" s="41"/>
    </row>
    <row r="8" spans="1:22" x14ac:dyDescent="0.3">
      <c r="A8" s="59"/>
      <c r="B8" s="41"/>
      <c r="C8" s="610"/>
      <c r="D8" s="611"/>
      <c r="E8" s="41"/>
      <c r="F8" s="41"/>
      <c r="G8" s="41"/>
      <c r="H8" s="41"/>
      <c r="I8" s="41"/>
      <c r="J8" s="41"/>
      <c r="K8" s="41"/>
      <c r="L8" s="41"/>
      <c r="M8" s="41"/>
    </row>
    <row r="9" spans="1:22" x14ac:dyDescent="0.3">
      <c r="A9" s="41"/>
      <c r="B9" s="41"/>
      <c r="C9" s="610"/>
      <c r="D9" s="611"/>
      <c r="E9" s="41"/>
      <c r="F9" s="41"/>
      <c r="G9" s="41"/>
      <c r="H9" s="41"/>
      <c r="I9" s="41"/>
      <c r="J9" s="41"/>
      <c r="K9" s="41"/>
      <c r="L9" s="41"/>
      <c r="M9" s="41"/>
    </row>
    <row r="10" spans="1:22" x14ac:dyDescent="0.3">
      <c r="A10" s="41"/>
      <c r="B10" s="41"/>
      <c r="C10" s="610"/>
      <c r="D10" s="611"/>
      <c r="E10" s="41"/>
      <c r="F10" s="41"/>
      <c r="G10" s="41"/>
      <c r="H10" s="41"/>
      <c r="I10" s="41"/>
      <c r="J10" s="41"/>
      <c r="K10" s="41"/>
      <c r="L10" s="41"/>
      <c r="M10" s="41"/>
    </row>
    <row r="11" spans="1:22" x14ac:dyDescent="0.3">
      <c r="A11" s="41"/>
      <c r="B11" s="41"/>
      <c r="C11" s="610"/>
      <c r="D11" s="611"/>
      <c r="E11" s="41"/>
      <c r="F11" s="41"/>
      <c r="G11" s="41"/>
      <c r="H11" s="41"/>
      <c r="I11" s="41"/>
      <c r="J11" s="41"/>
      <c r="K11" s="41"/>
      <c r="L11" s="41"/>
      <c r="M11" s="41"/>
    </row>
    <row r="12" spans="1:22" x14ac:dyDescent="0.3">
      <c r="A12" s="41"/>
      <c r="B12" s="41"/>
      <c r="C12" s="610"/>
      <c r="D12" s="611"/>
      <c r="E12" s="41"/>
      <c r="F12" s="41"/>
      <c r="G12" s="41"/>
      <c r="H12" s="41"/>
      <c r="I12" s="41"/>
      <c r="J12" s="41"/>
      <c r="K12" s="41"/>
      <c r="L12" s="41"/>
      <c r="M12" s="41"/>
    </row>
    <row r="13" spans="1:22" x14ac:dyDescent="0.3">
      <c r="A13" s="41"/>
      <c r="B13" s="41"/>
      <c r="C13" s="610"/>
      <c r="D13" s="611"/>
      <c r="E13" s="41"/>
      <c r="F13" s="41"/>
      <c r="G13" s="41"/>
      <c r="H13" s="41"/>
      <c r="I13" s="41"/>
      <c r="J13" s="41"/>
      <c r="K13" s="41"/>
      <c r="L13" s="41"/>
      <c r="M13" s="41"/>
    </row>
    <row r="15" spans="1:22" ht="21.6" thickBot="1" x14ac:dyDescent="0.35">
      <c r="A15" s="618" t="s">
        <v>731</v>
      </c>
      <c r="B15" s="619"/>
      <c r="C15" s="619"/>
      <c r="D15" s="619"/>
      <c r="E15" s="619"/>
      <c r="F15" s="619"/>
      <c r="G15" s="619"/>
      <c r="H15" s="619"/>
      <c r="I15" s="619"/>
      <c r="J15" s="619"/>
      <c r="K15" s="619"/>
      <c r="L15" s="619"/>
      <c r="M15" s="619"/>
      <c r="N15" s="619"/>
      <c r="O15" s="619"/>
      <c r="P15" s="619"/>
      <c r="Q15" s="619"/>
      <c r="R15" s="619"/>
      <c r="S15" s="619"/>
      <c r="T15" s="619"/>
      <c r="U15" s="619"/>
      <c r="V15" s="619"/>
    </row>
    <row r="16" spans="1:22" ht="135.75" customHeight="1" thickBot="1" x14ac:dyDescent="0.35">
      <c r="A16" s="151" t="s">
        <v>688</v>
      </c>
      <c r="B16" s="152" t="s">
        <v>724</v>
      </c>
      <c r="C16" s="605" t="s">
        <v>725</v>
      </c>
      <c r="D16" s="605"/>
      <c r="E16" s="152" t="s">
        <v>691</v>
      </c>
      <c r="F16" s="152" t="s">
        <v>726</v>
      </c>
      <c r="G16" s="152" t="s">
        <v>727</v>
      </c>
      <c r="H16" s="152" t="s">
        <v>231</v>
      </c>
      <c r="I16" s="152" t="s">
        <v>28</v>
      </c>
      <c r="J16" s="152" t="s">
        <v>728</v>
      </c>
      <c r="K16" s="152" t="s">
        <v>235</v>
      </c>
      <c r="L16" s="152" t="s">
        <v>729</v>
      </c>
      <c r="M16" s="152" t="s">
        <v>732</v>
      </c>
      <c r="N16" s="152" t="s">
        <v>733</v>
      </c>
      <c r="O16" s="152" t="s">
        <v>734</v>
      </c>
      <c r="P16" s="152" t="s">
        <v>735</v>
      </c>
      <c r="Q16" s="152" t="s">
        <v>736</v>
      </c>
      <c r="R16" s="605" t="s">
        <v>702</v>
      </c>
      <c r="S16" s="605"/>
      <c r="T16" s="605" t="s">
        <v>737</v>
      </c>
      <c r="U16" s="605"/>
      <c r="V16" s="153" t="s">
        <v>738</v>
      </c>
    </row>
    <row r="17" spans="1:22" x14ac:dyDescent="0.3">
      <c r="A17" s="5"/>
      <c r="B17" s="5"/>
      <c r="C17" s="620"/>
      <c r="D17" s="620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608"/>
      <c r="S17" s="609"/>
      <c r="T17" s="608"/>
      <c r="U17" s="609"/>
      <c r="V17" s="5"/>
    </row>
    <row r="18" spans="1:22" x14ac:dyDescent="0.3">
      <c r="A18" s="41"/>
      <c r="B18" s="41"/>
      <c r="C18" s="621"/>
      <c r="D18" s="62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610"/>
      <c r="S18" s="611"/>
      <c r="T18" s="610"/>
      <c r="U18" s="611"/>
      <c r="V18" s="41"/>
    </row>
    <row r="19" spans="1:22" x14ac:dyDescent="0.3">
      <c r="A19" s="41"/>
      <c r="B19" s="41"/>
      <c r="C19" s="621"/>
      <c r="D19" s="621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610"/>
      <c r="S19" s="611"/>
      <c r="T19" s="610"/>
      <c r="U19" s="611"/>
      <c r="V19" s="41"/>
    </row>
    <row r="20" spans="1:22" x14ac:dyDescent="0.3">
      <c r="A20" s="41"/>
      <c r="B20" s="41"/>
      <c r="C20" s="621"/>
      <c r="D20" s="621"/>
      <c r="E20" s="41"/>
      <c r="F20" s="41"/>
      <c r="G20" s="41"/>
      <c r="H20" s="41"/>
      <c r="I20" s="63"/>
      <c r="J20" s="41"/>
      <c r="K20" s="41"/>
      <c r="L20" s="41"/>
      <c r="M20" s="41"/>
      <c r="N20" s="41"/>
      <c r="O20" s="41"/>
      <c r="P20" s="41"/>
      <c r="Q20" s="41"/>
      <c r="R20" s="610"/>
      <c r="S20" s="611"/>
      <c r="T20" s="610"/>
      <c r="U20" s="611"/>
      <c r="V20" s="41"/>
    </row>
    <row r="21" spans="1:22" x14ac:dyDescent="0.3">
      <c r="A21" s="41"/>
      <c r="B21" s="41"/>
      <c r="C21" s="621"/>
      <c r="D21" s="62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610"/>
      <c r="S21" s="611"/>
      <c r="T21" s="610"/>
      <c r="U21" s="611"/>
      <c r="V21" s="41"/>
    </row>
    <row r="22" spans="1:22" x14ac:dyDescent="0.3">
      <c r="A22" s="41"/>
      <c r="B22" s="41"/>
      <c r="C22" s="621"/>
      <c r="D22" s="62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610"/>
      <c r="S22" s="611"/>
      <c r="T22" s="610"/>
      <c r="U22" s="611"/>
      <c r="V22" s="41"/>
    </row>
    <row r="23" spans="1:22" x14ac:dyDescent="0.3">
      <c r="A23" s="41"/>
      <c r="B23" s="41"/>
      <c r="C23" s="621"/>
      <c r="D23" s="621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610"/>
      <c r="S23" s="611"/>
      <c r="T23" s="610"/>
      <c r="U23" s="611"/>
      <c r="V23" s="41"/>
    </row>
    <row r="24" spans="1:22" x14ac:dyDescent="0.3">
      <c r="A24" s="41"/>
      <c r="B24" s="41"/>
      <c r="C24" s="621"/>
      <c r="D24" s="62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610"/>
      <c r="S24" s="611"/>
      <c r="T24" s="610"/>
      <c r="U24" s="611"/>
      <c r="V24" s="41"/>
    </row>
    <row r="25" spans="1:22" x14ac:dyDescent="0.3">
      <c r="A25" s="41"/>
      <c r="B25" s="41"/>
      <c r="C25" s="621"/>
      <c r="D25" s="62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610"/>
      <c r="S25" s="611"/>
      <c r="T25" s="610"/>
      <c r="U25" s="611"/>
      <c r="V25" s="41"/>
    </row>
    <row r="26" spans="1:22" x14ac:dyDescent="0.3">
      <c r="A26" s="41"/>
      <c r="B26" s="41"/>
      <c r="C26" s="621"/>
      <c r="D26" s="62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610"/>
      <c r="S26" s="611"/>
      <c r="T26" s="610"/>
      <c r="U26" s="611"/>
      <c r="V26" s="41"/>
    </row>
    <row r="28" spans="1:22" ht="21.6" thickBot="1" x14ac:dyDescent="0.35">
      <c r="A28" s="622" t="s">
        <v>739</v>
      </c>
      <c r="B28" s="623"/>
      <c r="C28" s="623"/>
      <c r="D28" s="623"/>
      <c r="E28" s="623"/>
      <c r="F28" s="623"/>
      <c r="G28" s="623"/>
      <c r="H28" s="623"/>
      <c r="I28" s="623"/>
      <c r="J28" s="623"/>
      <c r="K28" s="623"/>
      <c r="L28" s="623"/>
      <c r="M28" s="623"/>
      <c r="N28" s="623"/>
      <c r="O28" s="623"/>
      <c r="P28" s="623"/>
      <c r="Q28" s="623"/>
      <c r="R28" s="623"/>
      <c r="S28" s="623"/>
      <c r="T28" s="623"/>
      <c r="U28" s="623"/>
    </row>
    <row r="29" spans="1:22" ht="118.5" customHeight="1" thickBot="1" x14ac:dyDescent="0.35">
      <c r="A29" s="151" t="s">
        <v>688</v>
      </c>
      <c r="B29" s="152" t="s">
        <v>724</v>
      </c>
      <c r="C29" s="605" t="s">
        <v>725</v>
      </c>
      <c r="D29" s="605"/>
      <c r="E29" s="152" t="s">
        <v>691</v>
      </c>
      <c r="F29" s="152" t="s">
        <v>726</v>
      </c>
      <c r="G29" s="152" t="s">
        <v>727</v>
      </c>
      <c r="H29" s="152" t="s">
        <v>231</v>
      </c>
      <c r="I29" s="152" t="s">
        <v>28</v>
      </c>
      <c r="J29" s="152" t="s">
        <v>728</v>
      </c>
      <c r="K29" s="152" t="s">
        <v>235</v>
      </c>
      <c r="L29" s="152" t="s">
        <v>729</v>
      </c>
      <c r="M29" s="152" t="s">
        <v>732</v>
      </c>
      <c r="N29" s="152" t="s">
        <v>740</v>
      </c>
      <c r="O29" s="154" t="s">
        <v>734</v>
      </c>
      <c r="P29" s="605" t="s">
        <v>741</v>
      </c>
      <c r="Q29" s="605"/>
      <c r="R29" s="605" t="s">
        <v>702</v>
      </c>
      <c r="S29" s="605"/>
      <c r="T29" s="605" t="s">
        <v>742</v>
      </c>
      <c r="U29" s="614"/>
    </row>
    <row r="30" spans="1:22" x14ac:dyDescent="0.3">
      <c r="A30" s="5"/>
      <c r="B30" s="5"/>
      <c r="C30" s="608"/>
      <c r="D30" s="609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608"/>
      <c r="Q30" s="609"/>
      <c r="R30" s="608"/>
      <c r="S30" s="613"/>
      <c r="T30" s="608"/>
      <c r="U30" s="609"/>
    </row>
    <row r="31" spans="1:22" x14ac:dyDescent="0.3">
      <c r="A31" s="41"/>
      <c r="B31" s="41"/>
      <c r="C31" s="610"/>
      <c r="D31" s="61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610"/>
      <c r="Q31" s="611"/>
      <c r="R31" s="610"/>
      <c r="S31" s="612"/>
      <c r="T31" s="610"/>
      <c r="U31" s="611"/>
    </row>
    <row r="32" spans="1:22" x14ac:dyDescent="0.3">
      <c r="A32" s="41"/>
      <c r="B32" s="41"/>
      <c r="C32" s="610"/>
      <c r="D32" s="61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610"/>
      <c r="Q32" s="611"/>
      <c r="R32" s="610"/>
      <c r="S32" s="612"/>
      <c r="T32" s="610"/>
      <c r="U32" s="611"/>
    </row>
    <row r="33" spans="1:25" x14ac:dyDescent="0.3">
      <c r="A33" s="41"/>
      <c r="B33" s="41"/>
      <c r="C33" s="610"/>
      <c r="D33" s="61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610"/>
      <c r="Q33" s="611"/>
      <c r="R33" s="610"/>
      <c r="S33" s="612"/>
      <c r="T33" s="610"/>
      <c r="U33" s="611"/>
    </row>
    <row r="34" spans="1:25" x14ac:dyDescent="0.3">
      <c r="A34" s="41"/>
      <c r="B34" s="41"/>
      <c r="C34" s="610"/>
      <c r="D34" s="611"/>
      <c r="E34" s="41"/>
      <c r="F34" s="41"/>
      <c r="G34" s="41"/>
      <c r="H34" s="41"/>
      <c r="I34" s="41"/>
      <c r="J34" s="41"/>
      <c r="K34" s="41"/>
      <c r="L34" s="41"/>
      <c r="M34" s="41"/>
      <c r="N34" s="41"/>
      <c r="O34" s="41"/>
      <c r="P34" s="610"/>
      <c r="Q34" s="611"/>
      <c r="R34" s="610"/>
      <c r="S34" s="612"/>
      <c r="T34" s="610"/>
      <c r="U34" s="611"/>
    </row>
    <row r="35" spans="1:25" x14ac:dyDescent="0.3">
      <c r="A35" s="41"/>
      <c r="B35" s="41"/>
      <c r="C35" s="610"/>
      <c r="D35" s="611"/>
      <c r="E35" s="41"/>
      <c r="F35" s="41"/>
      <c r="G35" s="41"/>
      <c r="H35" s="41"/>
      <c r="I35" s="41"/>
      <c r="J35" s="41"/>
      <c r="K35" s="41"/>
      <c r="L35" s="41"/>
      <c r="M35" s="41"/>
      <c r="N35" s="41"/>
      <c r="O35" s="41"/>
      <c r="P35" s="610"/>
      <c r="Q35" s="611"/>
      <c r="R35" s="610"/>
      <c r="S35" s="612"/>
      <c r="T35" s="610"/>
      <c r="U35" s="611"/>
    </row>
    <row r="36" spans="1:25" x14ac:dyDescent="0.3">
      <c r="A36" s="41"/>
      <c r="B36" s="41"/>
      <c r="C36" s="610"/>
      <c r="D36" s="61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610"/>
      <c r="Q36" s="611"/>
      <c r="R36" s="610"/>
      <c r="S36" s="612"/>
      <c r="T36" s="610"/>
      <c r="U36" s="611"/>
    </row>
    <row r="37" spans="1:25" x14ac:dyDescent="0.3">
      <c r="A37" s="41"/>
      <c r="B37" s="41"/>
      <c r="C37" s="610"/>
      <c r="D37" s="611"/>
      <c r="E37" s="41"/>
      <c r="F37" s="41"/>
      <c r="G37" s="41"/>
      <c r="H37" s="41"/>
      <c r="I37" s="41"/>
      <c r="J37" s="41"/>
      <c r="K37" s="41"/>
      <c r="L37" s="41"/>
      <c r="M37" s="41"/>
      <c r="N37" s="41"/>
      <c r="O37" s="41"/>
      <c r="P37" s="610"/>
      <c r="Q37" s="611"/>
      <c r="R37" s="610"/>
      <c r="S37" s="612"/>
      <c r="T37" s="610"/>
      <c r="U37" s="611"/>
    </row>
    <row r="38" spans="1:25" x14ac:dyDescent="0.3">
      <c r="A38" s="41"/>
      <c r="B38" s="41"/>
      <c r="C38" s="610"/>
      <c r="D38" s="61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608"/>
      <c r="Q38" s="609"/>
      <c r="R38" s="610"/>
      <c r="S38" s="612"/>
      <c r="T38" s="610"/>
      <c r="U38" s="611"/>
    </row>
    <row r="39" spans="1:25" x14ac:dyDescent="0.3">
      <c r="A39" s="58"/>
    </row>
    <row r="40" spans="1:25" ht="21.6" thickBot="1" x14ac:dyDescent="0.35">
      <c r="A40" s="619" t="s">
        <v>743</v>
      </c>
      <c r="B40" s="619"/>
      <c r="C40" s="619"/>
      <c r="D40" s="619"/>
      <c r="E40" s="619"/>
      <c r="F40" s="619"/>
      <c r="G40" s="619"/>
      <c r="H40" s="619"/>
      <c r="I40" s="619"/>
      <c r="J40" s="619"/>
      <c r="K40" s="619"/>
      <c r="L40" s="619"/>
      <c r="M40" s="619"/>
      <c r="N40" s="619"/>
      <c r="O40" s="619"/>
      <c r="P40" s="619"/>
      <c r="Q40" s="619"/>
      <c r="R40" s="619"/>
      <c r="S40" s="619"/>
      <c r="T40" s="619"/>
      <c r="U40" s="619"/>
      <c r="V40" s="619"/>
      <c r="W40" s="619"/>
      <c r="X40" s="619"/>
      <c r="Y40" s="619"/>
    </row>
    <row r="41" spans="1:25" ht="123.75" customHeight="1" thickBot="1" x14ac:dyDescent="0.35">
      <c r="A41" s="148" t="s">
        <v>688</v>
      </c>
      <c r="B41" s="152" t="s">
        <v>724</v>
      </c>
      <c r="C41" s="605" t="s">
        <v>725</v>
      </c>
      <c r="D41" s="605"/>
      <c r="E41" s="152" t="s">
        <v>691</v>
      </c>
      <c r="F41" s="152" t="s">
        <v>726</v>
      </c>
      <c r="G41" s="152" t="s">
        <v>727</v>
      </c>
      <c r="H41" s="152" t="s">
        <v>231</v>
      </c>
      <c r="I41" s="152" t="s">
        <v>28</v>
      </c>
      <c r="J41" s="152" t="s">
        <v>728</v>
      </c>
      <c r="K41" s="152" t="s">
        <v>235</v>
      </c>
      <c r="L41" s="148" t="s">
        <v>694</v>
      </c>
      <c r="M41" s="148" t="s">
        <v>744</v>
      </c>
      <c r="N41" s="148" t="s">
        <v>745</v>
      </c>
      <c r="O41" s="148" t="s">
        <v>746</v>
      </c>
      <c r="P41" s="148" t="s">
        <v>747</v>
      </c>
      <c r="Q41" s="148" t="s">
        <v>748</v>
      </c>
      <c r="R41" s="606" t="s">
        <v>749</v>
      </c>
      <c r="S41" s="607"/>
      <c r="T41" s="607"/>
      <c r="U41" s="148" t="s">
        <v>750</v>
      </c>
      <c r="V41" s="148" t="s">
        <v>751</v>
      </c>
      <c r="W41" s="606" t="s">
        <v>752</v>
      </c>
      <c r="X41" s="624"/>
      <c r="Y41" s="148" t="s">
        <v>738</v>
      </c>
    </row>
    <row r="42" spans="1:25" x14ac:dyDescent="0.3">
      <c r="A42" s="15"/>
      <c r="B42" s="5"/>
      <c r="C42" s="608"/>
      <c r="D42" s="609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608"/>
      <c r="S42" s="613"/>
      <c r="T42" s="609"/>
      <c r="U42" s="5"/>
      <c r="V42" s="5"/>
      <c r="W42" s="608"/>
      <c r="X42" s="609"/>
      <c r="Y42" s="62"/>
    </row>
    <row r="43" spans="1:25" x14ac:dyDescent="0.3">
      <c r="A43" s="15"/>
      <c r="B43" s="41"/>
      <c r="C43" s="610"/>
      <c r="D43" s="611"/>
      <c r="E43" s="41"/>
      <c r="F43" s="41"/>
      <c r="G43" s="41"/>
      <c r="H43" s="41"/>
      <c r="I43" s="41"/>
      <c r="J43" s="41"/>
      <c r="K43" s="41"/>
      <c r="L43" s="41"/>
      <c r="M43" s="41"/>
      <c r="N43" s="41"/>
      <c r="O43" s="41"/>
      <c r="P43" s="41"/>
      <c r="Q43" s="41"/>
      <c r="R43" s="610"/>
      <c r="S43" s="612"/>
      <c r="T43" s="611"/>
      <c r="U43" s="41"/>
      <c r="V43" s="41"/>
      <c r="W43" s="610"/>
      <c r="X43" s="611"/>
      <c r="Y43" s="41"/>
    </row>
    <row r="44" spans="1:25" x14ac:dyDescent="0.3">
      <c r="A44" s="15"/>
      <c r="B44" s="41"/>
      <c r="C44" s="610"/>
      <c r="D44" s="611"/>
      <c r="E44" s="41"/>
      <c r="F44" s="41"/>
      <c r="G44" s="41"/>
      <c r="H44" s="41"/>
      <c r="I44" s="41"/>
      <c r="J44" s="41"/>
      <c r="K44" s="41"/>
      <c r="L44" s="41"/>
      <c r="M44" s="41"/>
      <c r="N44" s="41"/>
      <c r="O44" s="41"/>
      <c r="P44" s="41"/>
      <c r="Q44" s="41"/>
      <c r="R44" s="610"/>
      <c r="S44" s="612"/>
      <c r="T44" s="611"/>
      <c r="U44" s="41"/>
      <c r="V44" s="41"/>
      <c r="W44" s="610"/>
      <c r="X44" s="611"/>
      <c r="Y44" s="41"/>
    </row>
    <row r="45" spans="1:25" x14ac:dyDescent="0.3">
      <c r="A45" s="15"/>
      <c r="B45" s="41"/>
      <c r="C45" s="610"/>
      <c r="D45" s="61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610"/>
      <c r="S45" s="612"/>
      <c r="T45" s="611"/>
      <c r="U45" s="41"/>
      <c r="V45" s="41"/>
      <c r="W45" s="610"/>
      <c r="X45" s="611"/>
      <c r="Y45" s="41"/>
    </row>
    <row r="46" spans="1:25" x14ac:dyDescent="0.3">
      <c r="A46" s="15"/>
      <c r="B46" s="41"/>
      <c r="C46" s="610"/>
      <c r="D46" s="61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610"/>
      <c r="S46" s="612"/>
      <c r="T46" s="611"/>
      <c r="U46" s="41"/>
      <c r="V46" s="41"/>
      <c r="W46" s="610"/>
      <c r="X46" s="611"/>
      <c r="Y46" s="41"/>
    </row>
    <row r="47" spans="1:25" x14ac:dyDescent="0.3">
      <c r="A47" s="15"/>
      <c r="B47" s="41"/>
      <c r="C47" s="610"/>
      <c r="D47" s="61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610"/>
      <c r="S47" s="612"/>
      <c r="T47" s="611"/>
      <c r="U47" s="41"/>
      <c r="V47" s="41"/>
      <c r="W47" s="610"/>
      <c r="X47" s="611"/>
      <c r="Y47" s="41"/>
    </row>
    <row r="48" spans="1:25" x14ac:dyDescent="0.3">
      <c r="A48" s="15"/>
      <c r="B48" s="41"/>
      <c r="C48" s="610"/>
      <c r="D48" s="61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610"/>
      <c r="S48" s="612"/>
      <c r="T48" s="611"/>
      <c r="U48" s="41"/>
      <c r="V48" s="41"/>
      <c r="W48" s="610"/>
      <c r="X48" s="611"/>
      <c r="Y48" s="41"/>
    </row>
    <row r="49" spans="1:44" x14ac:dyDescent="0.3">
      <c r="A49" s="15"/>
      <c r="B49" s="41"/>
      <c r="C49" s="610"/>
      <c r="D49" s="611"/>
      <c r="E49" s="41"/>
      <c r="F49" s="41"/>
      <c r="G49" s="41"/>
      <c r="H49" s="41"/>
      <c r="I49" s="41"/>
      <c r="J49" s="41"/>
      <c r="K49" s="41"/>
      <c r="L49" s="41"/>
      <c r="M49" s="41"/>
      <c r="N49" s="41"/>
      <c r="O49" s="41"/>
      <c r="P49" s="41"/>
      <c r="Q49" s="41"/>
      <c r="R49" s="610"/>
      <c r="S49" s="612"/>
      <c r="T49" s="611"/>
      <c r="U49" s="41"/>
      <c r="V49" s="41"/>
      <c r="W49" s="610"/>
      <c r="X49" s="611"/>
      <c r="Y49" s="41"/>
    </row>
    <row r="50" spans="1:44" x14ac:dyDescent="0.3">
      <c r="A50" s="15"/>
      <c r="B50" s="41"/>
      <c r="C50" s="610"/>
      <c r="D50" s="611"/>
      <c r="E50" s="41"/>
      <c r="F50" s="41"/>
      <c r="G50" s="41"/>
      <c r="H50" s="41"/>
      <c r="I50" s="41"/>
      <c r="J50" s="41"/>
      <c r="K50" s="41"/>
      <c r="L50" s="41"/>
      <c r="M50" s="41"/>
      <c r="N50" s="41"/>
      <c r="O50" s="41"/>
      <c r="P50" s="41"/>
      <c r="Q50" s="41"/>
      <c r="R50" s="610"/>
      <c r="S50" s="612"/>
      <c r="T50" s="611"/>
      <c r="U50" s="41"/>
      <c r="V50" s="41"/>
      <c r="W50" s="610"/>
      <c r="X50" s="611"/>
      <c r="Y50" s="41"/>
    </row>
    <row r="51" spans="1:44" x14ac:dyDescent="0.3">
      <c r="A51" s="15"/>
      <c r="B51" s="41"/>
      <c r="C51" s="610"/>
      <c r="D51" s="61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610"/>
      <c r="S51" s="612"/>
      <c r="T51" s="611"/>
      <c r="U51" s="41"/>
      <c r="V51" s="41"/>
      <c r="W51" s="610"/>
      <c r="X51" s="611"/>
      <c r="Y51" s="41"/>
    </row>
    <row r="52" spans="1:44" x14ac:dyDescent="0.3">
      <c r="A52" s="15"/>
      <c r="B52" s="41"/>
      <c r="C52" s="610"/>
      <c r="D52" s="611"/>
      <c r="E52" s="41"/>
      <c r="F52" s="41"/>
      <c r="G52" s="41"/>
      <c r="H52" s="41"/>
      <c r="I52" s="41"/>
      <c r="J52" s="41"/>
      <c r="K52" s="41"/>
      <c r="L52" s="41"/>
      <c r="M52" s="41"/>
      <c r="N52" s="41"/>
      <c r="O52" s="41"/>
      <c r="P52" s="41"/>
      <c r="Q52" s="41"/>
      <c r="R52" s="610"/>
      <c r="S52" s="612"/>
      <c r="T52" s="611"/>
      <c r="U52" s="41"/>
      <c r="V52" s="41"/>
      <c r="W52" s="610"/>
      <c r="X52" s="611"/>
      <c r="Y52" s="41"/>
    </row>
    <row r="54" spans="1:44" ht="21.75" customHeight="1" thickBot="1" x14ac:dyDescent="0.35">
      <c r="A54" s="615" t="s">
        <v>753</v>
      </c>
      <c r="B54" s="615"/>
      <c r="C54" s="615"/>
      <c r="D54" s="615"/>
      <c r="E54" s="615"/>
      <c r="F54" s="615"/>
      <c r="G54" s="615"/>
      <c r="H54" s="615"/>
      <c r="I54" s="615"/>
      <c r="J54" s="615"/>
      <c r="K54" s="615"/>
      <c r="L54" s="615"/>
      <c r="M54" s="615"/>
      <c r="N54" s="615"/>
      <c r="O54" s="615"/>
      <c r="P54" s="615"/>
      <c r="Q54" s="615"/>
      <c r="R54" s="615"/>
      <c r="S54" s="615"/>
      <c r="T54" s="615"/>
      <c r="U54" s="615"/>
      <c r="V54" s="615"/>
      <c r="W54" s="615"/>
      <c r="X54" s="615"/>
      <c r="Y54" s="615"/>
      <c r="Z54" s="615"/>
      <c r="AA54" s="615"/>
      <c r="AB54" s="615"/>
      <c r="AC54" s="615"/>
      <c r="AD54" s="615"/>
      <c r="AE54" s="615"/>
      <c r="AF54" s="615"/>
    </row>
    <row r="55" spans="1:44" ht="111" customHeight="1" thickBot="1" x14ac:dyDescent="0.35">
      <c r="A55" s="151" t="s">
        <v>688</v>
      </c>
      <c r="B55" s="605" t="s">
        <v>725</v>
      </c>
      <c r="C55" s="605"/>
      <c r="D55" s="152" t="s">
        <v>691</v>
      </c>
      <c r="E55" s="152" t="s">
        <v>726</v>
      </c>
      <c r="F55" s="605" t="s">
        <v>727</v>
      </c>
      <c r="G55" s="605"/>
      <c r="H55" s="152" t="s">
        <v>231</v>
      </c>
      <c r="I55" s="152" t="s">
        <v>28</v>
      </c>
      <c r="J55" s="152" t="s">
        <v>728</v>
      </c>
      <c r="K55" s="152" t="s">
        <v>235</v>
      </c>
      <c r="L55" s="152" t="s">
        <v>694</v>
      </c>
      <c r="M55" s="152" t="s">
        <v>754</v>
      </c>
      <c r="N55" s="152" t="s">
        <v>755</v>
      </c>
      <c r="O55" s="605" t="s">
        <v>756</v>
      </c>
      <c r="P55" s="605"/>
      <c r="Q55" s="605" t="s">
        <v>757</v>
      </c>
      <c r="R55" s="605"/>
      <c r="S55" s="605"/>
      <c r="T55" s="605" t="s">
        <v>758</v>
      </c>
      <c r="U55" s="605"/>
      <c r="V55" s="152" t="s">
        <v>759</v>
      </c>
      <c r="W55" s="605" t="s">
        <v>760</v>
      </c>
      <c r="X55" s="605"/>
      <c r="Y55" s="605" t="s">
        <v>761</v>
      </c>
      <c r="Z55" s="605"/>
      <c r="AA55" s="152" t="s">
        <v>762</v>
      </c>
      <c r="AB55" s="152" t="s">
        <v>763</v>
      </c>
      <c r="AC55" s="605" t="s">
        <v>764</v>
      </c>
      <c r="AD55" s="605"/>
      <c r="AE55" s="605" t="s">
        <v>702</v>
      </c>
      <c r="AF55" s="614"/>
      <c r="AN55" s="61"/>
      <c r="AO55" s="61"/>
      <c r="AQ55" s="61"/>
      <c r="AR55" s="61"/>
    </row>
    <row r="56" spans="1:44" x14ac:dyDescent="0.3">
      <c r="A56" s="15"/>
      <c r="B56" s="616"/>
      <c r="C56" s="617"/>
      <c r="D56" s="5"/>
      <c r="E56" s="5"/>
      <c r="F56" s="616"/>
      <c r="G56" s="617"/>
      <c r="H56" s="5"/>
      <c r="I56" s="5"/>
      <c r="J56" s="5"/>
      <c r="K56" s="5"/>
      <c r="L56" s="5"/>
      <c r="M56" s="5"/>
      <c r="N56" s="5"/>
      <c r="O56" s="608"/>
      <c r="P56" s="609"/>
      <c r="Q56" s="608"/>
      <c r="R56" s="613"/>
      <c r="S56" s="609"/>
      <c r="T56" s="608"/>
      <c r="U56" s="609"/>
      <c r="V56" s="5"/>
      <c r="W56" s="610"/>
      <c r="X56" s="611"/>
      <c r="Y56" s="610"/>
      <c r="Z56" s="611"/>
      <c r="AA56" s="60"/>
      <c r="AB56" s="60"/>
      <c r="AC56" s="616"/>
      <c r="AD56" s="617"/>
      <c r="AE56" s="610"/>
      <c r="AF56" s="611"/>
    </row>
    <row r="57" spans="1:44" x14ac:dyDescent="0.3">
      <c r="A57" s="15"/>
      <c r="B57" s="610"/>
      <c r="C57" s="611"/>
      <c r="D57" s="41"/>
      <c r="E57" s="41"/>
      <c r="F57" s="608"/>
      <c r="G57" s="609"/>
      <c r="H57" s="41"/>
      <c r="I57" s="41"/>
      <c r="J57" s="41"/>
      <c r="K57" s="41"/>
      <c r="L57" s="41"/>
      <c r="M57" s="41"/>
      <c r="N57" s="41"/>
      <c r="O57" s="608"/>
      <c r="P57" s="609"/>
      <c r="Q57" s="608"/>
      <c r="R57" s="613"/>
      <c r="S57" s="609"/>
      <c r="T57" s="608"/>
      <c r="U57" s="609"/>
      <c r="V57" s="41"/>
      <c r="W57" s="610"/>
      <c r="X57" s="611"/>
      <c r="Y57" s="610"/>
      <c r="Z57" s="611"/>
      <c r="AA57" s="19"/>
      <c r="AB57" s="19"/>
      <c r="AC57" s="610"/>
      <c r="AD57" s="611"/>
      <c r="AE57" s="610"/>
      <c r="AF57" s="611"/>
    </row>
    <row r="58" spans="1:44" x14ac:dyDescent="0.3">
      <c r="A58" s="15"/>
      <c r="B58" s="610"/>
      <c r="C58" s="611"/>
      <c r="D58" s="41"/>
      <c r="E58" s="41"/>
      <c r="F58" s="608"/>
      <c r="G58" s="609"/>
      <c r="H58" s="41"/>
      <c r="I58" s="41"/>
      <c r="J58" s="41"/>
      <c r="K58" s="41"/>
      <c r="L58" s="41"/>
      <c r="M58" s="41"/>
      <c r="N58" s="41"/>
      <c r="O58" s="608"/>
      <c r="P58" s="609"/>
      <c r="Q58" s="608"/>
      <c r="R58" s="613"/>
      <c r="S58" s="609"/>
      <c r="T58" s="608"/>
      <c r="U58" s="609"/>
      <c r="V58" s="41"/>
      <c r="W58" s="610"/>
      <c r="X58" s="611"/>
      <c r="Y58" s="610"/>
      <c r="Z58" s="611"/>
      <c r="AA58" s="19"/>
      <c r="AB58" s="19"/>
      <c r="AC58" s="610"/>
      <c r="AD58" s="611"/>
      <c r="AE58" s="610"/>
      <c r="AF58" s="611"/>
    </row>
    <row r="59" spans="1:44" x14ac:dyDescent="0.3">
      <c r="A59" s="15"/>
      <c r="B59" s="610"/>
      <c r="C59" s="611"/>
      <c r="D59" s="41"/>
      <c r="E59" s="41"/>
      <c r="F59" s="608"/>
      <c r="G59" s="609"/>
      <c r="H59" s="41"/>
      <c r="I59" s="41"/>
      <c r="J59" s="41"/>
      <c r="K59" s="41"/>
      <c r="L59" s="41"/>
      <c r="M59" s="41"/>
      <c r="N59" s="41"/>
      <c r="O59" s="608"/>
      <c r="P59" s="609"/>
      <c r="Q59" s="608"/>
      <c r="R59" s="613"/>
      <c r="S59" s="609"/>
      <c r="T59" s="608"/>
      <c r="U59" s="609"/>
      <c r="V59" s="41"/>
      <c r="W59" s="610"/>
      <c r="X59" s="611"/>
      <c r="Y59" s="610"/>
      <c r="Z59" s="611"/>
      <c r="AA59" s="19"/>
      <c r="AB59" s="19"/>
      <c r="AC59" s="610"/>
      <c r="AD59" s="611"/>
      <c r="AE59" s="610"/>
      <c r="AF59" s="611"/>
    </row>
    <row r="60" spans="1:44" x14ac:dyDescent="0.3">
      <c r="A60" s="15"/>
      <c r="B60" s="610"/>
      <c r="C60" s="611"/>
      <c r="D60" s="41"/>
      <c r="E60" s="41"/>
      <c r="F60" s="608"/>
      <c r="G60" s="609"/>
      <c r="H60" s="41"/>
      <c r="I60" s="41"/>
      <c r="J60" s="41"/>
      <c r="K60" s="41"/>
      <c r="L60" s="41"/>
      <c r="M60" s="41"/>
      <c r="N60" s="41"/>
      <c r="O60" s="608"/>
      <c r="P60" s="609"/>
      <c r="Q60" s="608"/>
      <c r="R60" s="613"/>
      <c r="S60" s="609"/>
      <c r="T60" s="608"/>
      <c r="U60" s="609"/>
      <c r="V60" s="41"/>
      <c r="W60" s="610"/>
      <c r="X60" s="611"/>
      <c r="Y60" s="610"/>
      <c r="Z60" s="611"/>
      <c r="AA60" s="19"/>
      <c r="AB60" s="19"/>
      <c r="AC60" s="610"/>
      <c r="AD60" s="611"/>
      <c r="AE60" s="610"/>
      <c r="AF60" s="611"/>
    </row>
    <row r="61" spans="1:44" x14ac:dyDescent="0.3">
      <c r="A61" s="15"/>
      <c r="B61" s="610"/>
      <c r="C61" s="611"/>
      <c r="D61" s="41"/>
      <c r="E61" s="41"/>
      <c r="F61" s="608"/>
      <c r="G61" s="609"/>
      <c r="H61" s="41"/>
      <c r="I61" s="41"/>
      <c r="J61" s="41"/>
      <c r="K61" s="41"/>
      <c r="L61" s="41"/>
      <c r="M61" s="41"/>
      <c r="N61" s="41"/>
      <c r="O61" s="608"/>
      <c r="P61" s="609"/>
      <c r="Q61" s="608"/>
      <c r="R61" s="613"/>
      <c r="S61" s="609"/>
      <c r="T61" s="608"/>
      <c r="U61" s="609"/>
      <c r="V61" s="41"/>
      <c r="W61" s="610"/>
      <c r="X61" s="611"/>
      <c r="Y61" s="610"/>
      <c r="Z61" s="611"/>
      <c r="AA61" s="19"/>
      <c r="AB61" s="19"/>
      <c r="AC61" s="610"/>
      <c r="AD61" s="611"/>
      <c r="AE61" s="610"/>
      <c r="AF61" s="611"/>
    </row>
    <row r="62" spans="1:44" x14ac:dyDescent="0.3">
      <c r="A62" s="15"/>
      <c r="B62" s="610"/>
      <c r="C62" s="611"/>
      <c r="D62" s="41"/>
      <c r="E62" s="41"/>
      <c r="F62" s="608"/>
      <c r="G62" s="609"/>
      <c r="H62" s="41"/>
      <c r="I62" s="41"/>
      <c r="J62" s="41"/>
      <c r="K62" s="41"/>
      <c r="L62" s="41"/>
      <c r="M62" s="41"/>
      <c r="N62" s="41"/>
      <c r="O62" s="608"/>
      <c r="P62" s="609"/>
      <c r="Q62" s="608"/>
      <c r="R62" s="613"/>
      <c r="S62" s="609"/>
      <c r="T62" s="608"/>
      <c r="U62" s="609"/>
      <c r="V62" s="41"/>
      <c r="W62" s="610"/>
      <c r="X62" s="611"/>
      <c r="Y62" s="610"/>
      <c r="Z62" s="611"/>
      <c r="AA62" s="19"/>
      <c r="AB62" s="19"/>
      <c r="AC62" s="610"/>
      <c r="AD62" s="611"/>
      <c r="AE62" s="610"/>
      <c r="AF62" s="611"/>
    </row>
    <row r="63" spans="1:44" x14ac:dyDescent="0.3">
      <c r="A63" s="15"/>
      <c r="B63" s="610"/>
      <c r="C63" s="611"/>
      <c r="D63" s="41"/>
      <c r="E63" s="41"/>
      <c r="F63" s="608"/>
      <c r="G63" s="609"/>
      <c r="H63" s="41"/>
      <c r="I63" s="41"/>
      <c r="J63" s="41"/>
      <c r="K63" s="41"/>
      <c r="L63" s="41"/>
      <c r="M63" s="41"/>
      <c r="N63" s="41"/>
      <c r="O63" s="608"/>
      <c r="P63" s="609"/>
      <c r="Q63" s="608"/>
      <c r="R63" s="613"/>
      <c r="S63" s="609"/>
      <c r="T63" s="608"/>
      <c r="U63" s="609"/>
      <c r="V63" s="41"/>
      <c r="W63" s="610"/>
      <c r="X63" s="611"/>
      <c r="Y63" s="610"/>
      <c r="Z63" s="611"/>
      <c r="AA63" s="19"/>
      <c r="AB63" s="19"/>
      <c r="AC63" s="610"/>
      <c r="AD63" s="611"/>
      <c r="AE63" s="610"/>
      <c r="AF63" s="611"/>
    </row>
    <row r="64" spans="1:44" x14ac:dyDescent="0.3">
      <c r="A64" s="15"/>
      <c r="B64" s="610"/>
      <c r="C64" s="611"/>
      <c r="D64" s="41"/>
      <c r="E64" s="41"/>
      <c r="F64" s="608"/>
      <c r="G64" s="609"/>
      <c r="H64" s="41"/>
      <c r="I64" s="41"/>
      <c r="J64" s="41"/>
      <c r="K64" s="41"/>
      <c r="L64" s="41"/>
      <c r="M64" s="41"/>
      <c r="N64" s="41"/>
      <c r="O64" s="608"/>
      <c r="P64" s="609"/>
      <c r="Q64" s="608"/>
      <c r="R64" s="613"/>
      <c r="S64" s="609"/>
      <c r="T64" s="608"/>
      <c r="U64" s="609"/>
      <c r="V64" s="41"/>
      <c r="W64" s="610"/>
      <c r="X64" s="611"/>
      <c r="Y64" s="610"/>
      <c r="Z64" s="611"/>
      <c r="AA64" s="19"/>
      <c r="AB64" s="19"/>
      <c r="AC64" s="610"/>
      <c r="AD64" s="611"/>
      <c r="AE64" s="610"/>
      <c r="AF64" s="611"/>
    </row>
    <row r="65" spans="1:32" x14ac:dyDescent="0.3">
      <c r="A65" s="15"/>
      <c r="B65" s="610"/>
      <c r="C65" s="611"/>
      <c r="D65" s="41"/>
      <c r="E65" s="41"/>
      <c r="F65" s="608"/>
      <c r="G65" s="609"/>
      <c r="H65" s="41"/>
      <c r="I65" s="41"/>
      <c r="J65" s="41"/>
      <c r="K65" s="41"/>
      <c r="L65" s="41"/>
      <c r="M65" s="41"/>
      <c r="N65" s="41"/>
      <c r="O65" s="608"/>
      <c r="P65" s="609"/>
      <c r="Q65" s="608"/>
      <c r="R65" s="613"/>
      <c r="S65" s="609"/>
      <c r="T65" s="608"/>
      <c r="U65" s="609"/>
      <c r="V65" s="41"/>
      <c r="W65" s="610"/>
      <c r="X65" s="611"/>
      <c r="Y65" s="610"/>
      <c r="Z65" s="611"/>
      <c r="AA65" s="19"/>
      <c r="AB65" s="19"/>
      <c r="AC65" s="610"/>
      <c r="AD65" s="611"/>
      <c r="AE65" s="610"/>
      <c r="AF65" s="611"/>
    </row>
  </sheetData>
  <mergeCells count="224">
    <mergeCell ref="C19:D19"/>
    <mergeCell ref="C20:D20"/>
    <mergeCell ref="C21:D21"/>
    <mergeCell ref="C22:D22"/>
    <mergeCell ref="C23:D23"/>
    <mergeCell ref="C24:D24"/>
    <mergeCell ref="C25:D25"/>
    <mergeCell ref="C26:D26"/>
    <mergeCell ref="T37:U37"/>
    <mergeCell ref="T38:U38"/>
    <mergeCell ref="W41:X41"/>
    <mergeCell ref="W42:X42"/>
    <mergeCell ref="W65:X65"/>
    <mergeCell ref="W56:X56"/>
    <mergeCell ref="Y65:Z65"/>
    <mergeCell ref="Y56:Z56"/>
    <mergeCell ref="Y57:Z57"/>
    <mergeCell ref="Y58:Z58"/>
    <mergeCell ref="Y59:Z59"/>
    <mergeCell ref="Y60:Z60"/>
    <mergeCell ref="Y61:Z61"/>
    <mergeCell ref="Y62:Z62"/>
    <mergeCell ref="Y63:Z63"/>
    <mergeCell ref="Y64:Z64"/>
    <mergeCell ref="W57:X57"/>
    <mergeCell ref="W58:X58"/>
    <mergeCell ref="W59:X59"/>
    <mergeCell ref="W60:X60"/>
    <mergeCell ref="W61:X61"/>
    <mergeCell ref="W62:X62"/>
    <mergeCell ref="W63:X63"/>
    <mergeCell ref="W64:X64"/>
    <mergeCell ref="W43:X43"/>
    <mergeCell ref="W44:X44"/>
    <mergeCell ref="W45:X45"/>
    <mergeCell ref="T64:U64"/>
    <mergeCell ref="A28:U28"/>
    <mergeCell ref="A40:Y40"/>
    <mergeCell ref="R38:S38"/>
    <mergeCell ref="R16:S16"/>
    <mergeCell ref="T16:U16"/>
    <mergeCell ref="B63:C63"/>
    <mergeCell ref="B64:C64"/>
    <mergeCell ref="O61:P61"/>
    <mergeCell ref="O62:P62"/>
    <mergeCell ref="O63:P63"/>
    <mergeCell ref="O64:P64"/>
    <mergeCell ref="T29:U29"/>
    <mergeCell ref="C29:D29"/>
    <mergeCell ref="P36:Q36"/>
    <mergeCell ref="P37:Q37"/>
    <mergeCell ref="W51:X51"/>
    <mergeCell ref="W52:X52"/>
    <mergeCell ref="R42:T42"/>
    <mergeCell ref="R43:T43"/>
    <mergeCell ref="R44:T44"/>
    <mergeCell ref="R45:T45"/>
    <mergeCell ref="A15:V15"/>
    <mergeCell ref="R26:S26"/>
    <mergeCell ref="R17:S17"/>
    <mergeCell ref="R18:S18"/>
    <mergeCell ref="R19:S19"/>
    <mergeCell ref="R20:S20"/>
    <mergeCell ref="R21:S21"/>
    <mergeCell ref="R22:S22"/>
    <mergeCell ref="R23:S23"/>
    <mergeCell ref="R24:S24"/>
    <mergeCell ref="R25:S25"/>
    <mergeCell ref="T26:U26"/>
    <mergeCell ref="T17:U17"/>
    <mergeCell ref="T18:U18"/>
    <mergeCell ref="C16:D16"/>
    <mergeCell ref="T24:U24"/>
    <mergeCell ref="T25:U25"/>
    <mergeCell ref="T19:U19"/>
    <mergeCell ref="T20:U20"/>
    <mergeCell ref="T21:U21"/>
    <mergeCell ref="T22:U22"/>
    <mergeCell ref="T23:U23"/>
    <mergeCell ref="C17:D17"/>
    <mergeCell ref="C18:D18"/>
    <mergeCell ref="AE65:AF65"/>
    <mergeCell ref="AE56:AF56"/>
    <mergeCell ref="AE57:AF57"/>
    <mergeCell ref="AE58:AF58"/>
    <mergeCell ref="AE59:AF59"/>
    <mergeCell ref="AE60:AF60"/>
    <mergeCell ref="AE61:AF61"/>
    <mergeCell ref="AE62:AF62"/>
    <mergeCell ref="AE63:AF63"/>
    <mergeCell ref="AE64:AF64"/>
    <mergeCell ref="AC65:AD65"/>
    <mergeCell ref="AC57:AD57"/>
    <mergeCell ref="AC58:AD58"/>
    <mergeCell ref="AC59:AD59"/>
    <mergeCell ref="AC60:AD60"/>
    <mergeCell ref="AC61:AD61"/>
    <mergeCell ref="AC62:AD62"/>
    <mergeCell ref="AC63:AD63"/>
    <mergeCell ref="AC64:AD64"/>
    <mergeCell ref="B65:C65"/>
    <mergeCell ref="F56:G56"/>
    <mergeCell ref="F57:G57"/>
    <mergeCell ref="F58:G58"/>
    <mergeCell ref="F59:G59"/>
    <mergeCell ref="F60:G60"/>
    <mergeCell ref="F61:G61"/>
    <mergeCell ref="F62:G62"/>
    <mergeCell ref="F63:G63"/>
    <mergeCell ref="F64:G64"/>
    <mergeCell ref="F65:G65"/>
    <mergeCell ref="B58:C58"/>
    <mergeCell ref="B59:C59"/>
    <mergeCell ref="B60:C60"/>
    <mergeCell ref="B61:C61"/>
    <mergeCell ref="B62:C62"/>
    <mergeCell ref="AC55:AD55"/>
    <mergeCell ref="AE55:AF55"/>
    <mergeCell ref="A54:AF54"/>
    <mergeCell ref="B56:C56"/>
    <mergeCell ref="B57:C57"/>
    <mergeCell ref="AC56:AD56"/>
    <mergeCell ref="T61:U61"/>
    <mergeCell ref="T62:U62"/>
    <mergeCell ref="T63:U63"/>
    <mergeCell ref="T56:U56"/>
    <mergeCell ref="T57:U57"/>
    <mergeCell ref="T58:U58"/>
    <mergeCell ref="T59:U59"/>
    <mergeCell ref="T60:U60"/>
    <mergeCell ref="Q61:S61"/>
    <mergeCell ref="Q62:S62"/>
    <mergeCell ref="Q63:S63"/>
    <mergeCell ref="B55:C55"/>
    <mergeCell ref="F55:G55"/>
    <mergeCell ref="O55:P55"/>
    <mergeCell ref="Q55:S55"/>
    <mergeCell ref="T55:U55"/>
    <mergeCell ref="W55:X55"/>
    <mergeCell ref="Y55:Z55"/>
    <mergeCell ref="O65:P65"/>
    <mergeCell ref="O56:P56"/>
    <mergeCell ref="O57:P57"/>
    <mergeCell ref="O58:P58"/>
    <mergeCell ref="O59:P59"/>
    <mergeCell ref="O60:P60"/>
    <mergeCell ref="R36:S36"/>
    <mergeCell ref="R37:S37"/>
    <mergeCell ref="R29:S29"/>
    <mergeCell ref="R30:S30"/>
    <mergeCell ref="R31:S31"/>
    <mergeCell ref="R32:S32"/>
    <mergeCell ref="Q64:S64"/>
    <mergeCell ref="Q65:S65"/>
    <mergeCell ref="Q56:S56"/>
    <mergeCell ref="Q57:S57"/>
    <mergeCell ref="Q58:S58"/>
    <mergeCell ref="Q59:S59"/>
    <mergeCell ref="Q60:S60"/>
    <mergeCell ref="P29:Q29"/>
    <mergeCell ref="P32:Q32"/>
    <mergeCell ref="P33:Q33"/>
    <mergeCell ref="P34:Q34"/>
    <mergeCell ref="P35:Q35"/>
    <mergeCell ref="T65:U65"/>
    <mergeCell ref="T30:U30"/>
    <mergeCell ref="T31:U31"/>
    <mergeCell ref="T32:U32"/>
    <mergeCell ref="T33:U33"/>
    <mergeCell ref="T34:U34"/>
    <mergeCell ref="T35:U35"/>
    <mergeCell ref="T36:U36"/>
    <mergeCell ref="C49:D49"/>
    <mergeCell ref="C50:D50"/>
    <mergeCell ref="C51:D51"/>
    <mergeCell ref="C52:D52"/>
    <mergeCell ref="P38:Q38"/>
    <mergeCell ref="C46:D46"/>
    <mergeCell ref="C47:D47"/>
    <mergeCell ref="C48:D48"/>
    <mergeCell ref="C30:D30"/>
    <mergeCell ref="C31:D31"/>
    <mergeCell ref="C32:D32"/>
    <mergeCell ref="C33:D33"/>
    <mergeCell ref="C34:D34"/>
    <mergeCell ref="C35:D35"/>
    <mergeCell ref="P30:Q30"/>
    <mergeCell ref="P31:Q31"/>
    <mergeCell ref="R46:T46"/>
    <mergeCell ref="R47:T47"/>
    <mergeCell ref="R48:T48"/>
    <mergeCell ref="R49:T49"/>
    <mergeCell ref="R50:T50"/>
    <mergeCell ref="R51:T51"/>
    <mergeCell ref="R52:T52"/>
    <mergeCell ref="W46:X46"/>
    <mergeCell ref="W47:X47"/>
    <mergeCell ref="W48:X48"/>
    <mergeCell ref="W49:X49"/>
    <mergeCell ref="W50:X50"/>
    <mergeCell ref="A2:M2"/>
    <mergeCell ref="C41:D41"/>
    <mergeCell ref="R41:T41"/>
    <mergeCell ref="C42:D42"/>
    <mergeCell ref="C43:D43"/>
    <mergeCell ref="C44:D44"/>
    <mergeCell ref="C45:D45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36:D36"/>
    <mergeCell ref="C37:D37"/>
    <mergeCell ref="C38:D38"/>
    <mergeCell ref="R33:S33"/>
    <mergeCell ref="R34:S34"/>
    <mergeCell ref="R35:S35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Manual do SIS XINGU</vt:lpstr>
      <vt:lpstr>Censo</vt:lpstr>
      <vt:lpstr>GESTANTES</vt:lpstr>
      <vt:lpstr>Final PRE-NATAL</vt:lpstr>
      <vt:lpstr>NASCIMENTOS</vt:lpstr>
      <vt:lpstr>PUERICULTURA</vt:lpstr>
      <vt:lpstr>ABORTO</vt:lpstr>
      <vt:lpstr>NATIMORTO</vt:lpstr>
      <vt:lpstr>ÓBITO</vt:lpstr>
      <vt:lpstr>DM</vt:lpstr>
      <vt:lpstr>HAS</vt:lpstr>
      <vt:lpstr>AGRAVOS</vt:lpstr>
      <vt:lpstr>Ações Educativas</vt:lpstr>
      <vt:lpstr>ATIVIDADES</vt:lpstr>
      <vt:lpstr>Usuários de medicamentos</vt:lpstr>
      <vt:lpstr>NOTIFICAÇÕES BEM VIVER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2025-05-07T15:57:14Z</dcterms:modified>
  <cp:category/>
  <cp:contentStatus/>
</cp:coreProperties>
</file>